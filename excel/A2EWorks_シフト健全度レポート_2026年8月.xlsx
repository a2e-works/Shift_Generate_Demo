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シフト健全度" sheetId="1" state="visible" r:id="rId3"/>
    <sheet name="シフト表(2026年8月)" sheetId="2" state="visible" r:id="rId4"/>
    <sheet name="希望休申請一覧" sheetId="3" state="visible" r:id="rId5"/>
    <sheet name="頭打ち箇所と対応案" sheetId="4" state="visible" r:id="rId6"/>
    <sheet name="メンバーデータ" sheetId="5" state="visible" r:id="rId7"/>
    <sheet name="段階マップ" sheetId="6" state="hidden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5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N5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R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S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T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W13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</commentList>
</comments>
</file>

<file path=xl/sharedStrings.xml><?xml version="1.0" encoding="utf-8"?>
<sst xmlns="http://schemas.openxmlformats.org/spreadsheetml/2006/main" count="842" uniqueCount="183">
  <si>
    <r>
      <rPr>
        <b val="true"/>
        <sz val="16"/>
        <rFont val="Noto Sans CJK SC"/>
        <family val="2"/>
      </rPr>
      <t xml:space="preserve">シフト健全度レポート</t>
    </r>
    <r>
      <rPr>
        <b val="true"/>
        <sz val="16"/>
        <rFont val="Arial"/>
        <family val="0"/>
        <charset val="1"/>
      </rPr>
      <t xml:space="preserve">(2026</t>
    </r>
    <r>
      <rPr>
        <b val="true"/>
        <sz val="16"/>
        <rFont val="Noto Sans CJK SC"/>
        <family val="2"/>
      </rPr>
      <t xml:space="preserve">年</t>
    </r>
    <r>
      <rPr>
        <b val="true"/>
        <sz val="16"/>
        <rFont val="Arial"/>
        <family val="0"/>
        <charset val="1"/>
      </rPr>
      <t xml:space="preserve">8</t>
    </r>
    <r>
      <rPr>
        <b val="true"/>
        <sz val="16"/>
        <rFont val="Noto Sans CJK SC"/>
        <family val="2"/>
      </rPr>
      <t xml:space="preserve">月時点</t>
    </r>
    <r>
      <rPr>
        <b val="true"/>
        <sz val="16"/>
        <rFont val="Arial"/>
        <family val="0"/>
        <charset val="1"/>
      </rPr>
      <t xml:space="preserve">)</t>
    </r>
  </si>
  <si>
    <t xml:space="preserve">総合健全度スコア</t>
  </si>
  <si>
    <t xml:space="preserve">判定</t>
  </si>
  <si>
    <t xml:space="preserve">指標</t>
  </si>
  <si>
    <t xml:space="preserve">スコア</t>
  </si>
  <si>
    <t xml:space="preserve">教育達成率</t>
  </si>
  <si>
    <t xml:space="preserve">属人化耐性</t>
  </si>
  <si>
    <t xml:space="preserve">資格充足率</t>
  </si>
  <si>
    <t xml:space="preserve">バックアップ率</t>
  </si>
  <si>
    <t xml:space="preserve">変更耐性</t>
  </si>
  <si>
    <r>
      <rPr>
        <b val="true"/>
        <sz val="11"/>
        <rFont val="Noto Sans CJK SC"/>
        <family val="2"/>
      </rPr>
      <t xml:space="preserve">属人化耐性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設備別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単独対応以上の人数</t>
    </r>
    <r>
      <rPr>
        <b val="true"/>
        <sz val="11"/>
        <rFont val="Arial"/>
        <family val="0"/>
        <charset val="1"/>
      </rPr>
      <t xml:space="preserve">)</t>
    </r>
  </si>
  <si>
    <t xml:space="preserve">設備</t>
  </si>
  <si>
    <t xml:space="preserve">人数</t>
  </si>
  <si>
    <t xml:space="preserve">受変電設備</t>
  </si>
  <si>
    <t xml:space="preserve">空調設備</t>
  </si>
  <si>
    <t xml:space="preserve">消防設備</t>
  </si>
  <si>
    <t xml:space="preserve">監視盤</t>
  </si>
  <si>
    <r>
      <rPr>
        <b val="true"/>
        <sz val="11"/>
        <rFont val="Noto Sans CJK SC"/>
        <family val="2"/>
      </rPr>
      <t xml:space="preserve">属人化耐性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</si>
  <si>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変更耐性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チーム別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単独対応可能人数</t>
    </r>
    <r>
      <rPr>
        <b val="true"/>
        <sz val="11"/>
        <rFont val="Arial"/>
        <family val="0"/>
        <charset val="1"/>
      </rPr>
      <t xml:space="preserve">)</t>
    </r>
  </si>
  <si>
    <t xml:space="preserve">チーム</t>
  </si>
  <si>
    <t xml:space="preserve">単独対応可能人数</t>
  </si>
  <si>
    <t xml:space="preserve">チーム人数</t>
  </si>
  <si>
    <t xml:space="preserve">A</t>
  </si>
  <si>
    <t xml:space="preserve">B</t>
  </si>
  <si>
    <t xml:space="preserve">C</t>
  </si>
  <si>
    <t xml:space="preserve">D</t>
  </si>
  <si>
    <t xml:space="preserve">E</t>
  </si>
  <si>
    <r>
      <rPr>
        <b val="true"/>
        <sz val="11"/>
        <rFont val="Noto Sans CJK SC"/>
        <family val="2"/>
      </rPr>
      <t xml:space="preserve">変更耐性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</si>
  <si>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資格充足率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単独対応以上かつ必要資格を保有</t>
    </r>
    <r>
      <rPr>
        <b val="true"/>
        <sz val="11"/>
        <rFont val="Arial"/>
        <family val="0"/>
        <charset val="1"/>
      </rPr>
      <t xml:space="preserve">)</t>
    </r>
  </si>
  <si>
    <t xml:space="preserve">対象人数</t>
  </si>
  <si>
    <t xml:space="preserve">資格保有人数</t>
  </si>
  <si>
    <r>
      <rPr>
        <b val="true"/>
        <sz val="11"/>
        <rFont val="Noto Sans CJK SC"/>
        <family val="2"/>
      </rPr>
      <t xml:space="preserve">資格充足率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</si>
  <si>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今月の早番</t>
    </r>
    <r>
      <rPr>
        <b val="true"/>
        <sz val="11"/>
        <rFont val="Arial"/>
        <family val="0"/>
        <charset val="1"/>
      </rPr>
      <t xml:space="preserve">A(</t>
    </r>
    <r>
      <rPr>
        <b val="true"/>
        <sz val="11"/>
        <rFont val="Noto Sans CJK SC"/>
        <family val="2"/>
      </rPr>
      <t xml:space="preserve">教育投資枠</t>
    </r>
    <r>
      <rPr>
        <b val="true"/>
        <sz val="11"/>
        <rFont val="Arial"/>
        <family val="0"/>
        <charset val="1"/>
      </rPr>
      <t xml:space="preserve">)</t>
    </r>
    <r>
      <rPr>
        <b val="true"/>
        <sz val="11"/>
        <rFont val="Noto Sans CJK SC"/>
        <family val="2"/>
      </rPr>
      <t xml:space="preserve">活用回数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チーム別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</si>
  <si>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早</t>
    </r>
    <r>
      <rPr>
        <b val="true"/>
        <sz val="11"/>
        <color rgb="FFFFFFFF"/>
        <rFont val="Arial"/>
        <family val="0"/>
        <charset val="1"/>
      </rPr>
      <t xml:space="preserve">A</t>
    </r>
    <r>
      <rPr>
        <b val="true"/>
        <sz val="11"/>
        <color rgb="FFFFFFFF"/>
        <rFont val="Noto Sans CJK SC"/>
        <family val="2"/>
      </rPr>
      <t xml:space="preserve">回数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今月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</si>
  <si>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判定基準</t>
  </si>
  <si>
    <t xml:space="preserve">スコア帯</t>
  </si>
  <si>
    <t xml:space="preserve">意味</t>
  </si>
  <si>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以上</t>
    </r>
  </si>
  <si>
    <t xml:space="preserve">突発休暇が出ても、現状の体制で対応可能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</si>
  <si>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79</t>
    </r>
  </si>
  <si>
    <r>
      <rPr>
        <sz val="11"/>
        <color theme="1"/>
        <rFont val="Noto Sans CJK SC"/>
        <family val="2"/>
      </rPr>
      <t xml:space="preserve">通常は対応可能。ただしイベント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点検・試験等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が重なる場合は要注意</t>
    </r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</si>
  <si>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未満</t>
    </r>
  </si>
  <si>
    <t xml:space="preserve">事前にバックアップ要員の確保・出動が必要</t>
  </si>
  <si>
    <r>
      <rPr>
        <i val="true"/>
        <sz val="10"/>
        <rFont val="Noto Sans CJK SC"/>
        <family val="2"/>
      </rPr>
      <t xml:space="preserve">教育・資格取得を進めるほど「単独対応できる人」が増え、属人化耐性・資格充足率が上がり、シフト健全度全体が向上します。健全度が高いほど、突発的な欠勤や希望休があってもバックアップで対応でき、結果として希望休を安心して承認しやすくなります。
今月どれだけ早番</t>
    </r>
    <r>
      <rPr>
        <i val="true"/>
        <sz val="10"/>
        <rFont val="Arial"/>
        <family val="0"/>
        <charset val="1"/>
      </rPr>
      <t xml:space="preserve">A(</t>
    </r>
    <r>
      <rPr>
        <i val="true"/>
        <sz val="10"/>
        <rFont val="Noto Sans CJK SC"/>
        <family val="2"/>
      </rPr>
      <t xml:space="preserve">教育投資枠</t>
    </r>
    <r>
      <rPr>
        <i val="true"/>
        <sz val="10"/>
        <rFont val="Arial"/>
        <family val="0"/>
        <charset val="1"/>
      </rPr>
      <t xml:space="preserve">)</t>
    </r>
    <r>
      <rPr>
        <i val="true"/>
        <sz val="10"/>
        <rFont val="Noto Sans CJK SC"/>
        <family val="2"/>
      </rPr>
      <t xml:space="preserve">を教育に充てたかが、</t>
    </r>
    <r>
      <rPr>
        <i val="true"/>
        <sz val="10"/>
        <rFont val="Arial"/>
        <family val="0"/>
        <charset val="1"/>
      </rPr>
      <t xml:space="preserve">3</t>
    </r>
    <r>
      <rPr>
        <i val="true"/>
        <sz val="10"/>
        <rFont val="Noto Sans CJK SC"/>
        <family val="2"/>
      </rPr>
      <t xml:space="preserve">〜</t>
    </r>
    <r>
      <rPr>
        <i val="true"/>
        <sz val="10"/>
        <rFont val="Arial"/>
        <family val="0"/>
        <charset val="1"/>
      </rPr>
      <t xml:space="preserve">6</t>
    </r>
    <r>
      <rPr>
        <i val="true"/>
        <sz val="10"/>
        <rFont val="Noto Sans CJK SC"/>
        <family val="2"/>
      </rPr>
      <t xml:space="preserve">ヶ月後の健全度に直結します</t>
    </r>
    <r>
      <rPr>
        <i val="true"/>
        <sz val="10"/>
        <rFont val="Arial"/>
        <family val="0"/>
        <charset val="1"/>
      </rPr>
      <t xml:space="preserve">(3</t>
    </r>
    <r>
      <rPr>
        <i val="true"/>
        <sz val="10"/>
        <rFont val="Noto Sans CJK SC"/>
        <family val="2"/>
      </rPr>
      <t xml:space="preserve">ヶ月後・</t>
    </r>
    <r>
      <rPr>
        <i val="true"/>
        <sz val="10"/>
        <rFont val="Arial"/>
        <family val="0"/>
        <charset val="1"/>
      </rPr>
      <t xml:space="preserve">6</t>
    </r>
    <r>
      <rPr>
        <i val="true"/>
        <sz val="10"/>
        <rFont val="Noto Sans CJK SC"/>
        <family val="2"/>
      </rPr>
      <t xml:space="preserve">ヶ月後・</t>
    </r>
    <r>
      <rPr>
        <i val="true"/>
        <sz val="10"/>
        <rFont val="Arial"/>
        <family val="0"/>
        <charset val="1"/>
      </rPr>
      <t xml:space="preserve">1</t>
    </r>
    <r>
      <rPr>
        <i val="true"/>
        <sz val="10"/>
        <rFont val="Noto Sans CJK SC"/>
        <family val="2"/>
      </rPr>
      <t xml:space="preserve">年後の予測は</t>
    </r>
    <r>
      <rPr>
        <i val="true"/>
        <sz val="10"/>
        <rFont val="Arial"/>
        <family val="0"/>
        <charset val="1"/>
      </rPr>
      <t xml:space="preserve">STEP7</t>
    </r>
    <r>
      <rPr>
        <i val="true"/>
        <sz val="10"/>
        <rFont val="Noto Sans CJK SC"/>
        <family val="2"/>
      </rPr>
      <t xml:space="preserve">で追加予定</t>
    </r>
    <r>
      <rPr>
        <i val="true"/>
        <sz val="10"/>
        <rFont val="Arial"/>
        <family val="0"/>
        <charset val="1"/>
      </rPr>
      <t xml:space="preserve">)</t>
    </r>
    <r>
      <rPr>
        <i val="true"/>
        <sz val="10"/>
        <rFont val="Noto Sans CJK SC"/>
        <family val="2"/>
      </rPr>
      <t xml:space="preserve">。</t>
    </r>
  </si>
  <si>
    <t xml:space="preserve">氏名</t>
  </si>
  <si>
    <t xml:space="preserve">役職</t>
  </si>
  <si>
    <t xml:space="preserve">佐藤 一郎</t>
  </si>
  <si>
    <t xml:space="preserve">リーダー</t>
  </si>
  <si>
    <r>
      <rPr>
        <sz val="11"/>
        <rFont val="Noto Sans CJK SC"/>
        <family val="2"/>
      </rPr>
      <t xml:space="preserve">早</t>
    </r>
    <r>
      <rPr>
        <sz val="11"/>
        <rFont val="Arial"/>
        <family val="0"/>
        <charset val="1"/>
      </rPr>
      <t xml:space="preserve">A</t>
    </r>
  </si>
  <si>
    <r>
      <rPr>
        <sz val="11"/>
        <rFont val="Noto Sans CJK SC"/>
        <family val="2"/>
      </rPr>
      <t xml:space="preserve">早</t>
    </r>
    <r>
      <rPr>
        <sz val="11"/>
        <rFont val="Arial"/>
        <family val="0"/>
        <charset val="1"/>
      </rPr>
      <t xml:space="preserve">B</t>
    </r>
  </si>
  <si>
    <t xml:space="preserve">夜</t>
  </si>
  <si>
    <t xml:space="preserve">明</t>
  </si>
  <si>
    <t xml:space="preserve">休</t>
  </si>
  <si>
    <t xml:space="preserve">鈴木 次郎</t>
  </si>
  <si>
    <t xml:space="preserve">高橋 三郎</t>
  </si>
  <si>
    <t xml:space="preserve">田中 誠</t>
  </si>
  <si>
    <t xml:space="preserve">中堅</t>
  </si>
  <si>
    <t xml:space="preserve">伊藤 健太</t>
  </si>
  <si>
    <t xml:space="preserve">渡辺 修</t>
  </si>
  <si>
    <t xml:space="preserve">山本 隆</t>
  </si>
  <si>
    <t xml:space="preserve">中村 陽介</t>
  </si>
  <si>
    <t xml:space="preserve">一般</t>
  </si>
  <si>
    <t xml:space="preserve">小林 拓也</t>
  </si>
  <si>
    <t xml:space="preserve">加藤 大輔</t>
  </si>
  <si>
    <t xml:space="preserve">サブリーダー</t>
  </si>
  <si>
    <t xml:space="preserve">吉田 匠</t>
  </si>
  <si>
    <t xml:space="preserve">山田 悠斗</t>
  </si>
  <si>
    <t xml:space="preserve">新人</t>
  </si>
  <si>
    <t xml:space="preserve">佐々木 蓮</t>
  </si>
  <si>
    <t xml:space="preserve">松本 洋平</t>
  </si>
  <si>
    <t xml:space="preserve">井上 直樹</t>
  </si>
  <si>
    <r>
      <rPr>
        <b val="true"/>
        <sz val="11"/>
        <rFont val="Noto Sans CJK SC"/>
        <family val="2"/>
      </rPr>
      <t xml:space="preserve">凡例</t>
    </r>
    <r>
      <rPr>
        <b val="true"/>
        <sz val="11"/>
        <rFont val="Arial"/>
        <family val="0"/>
        <charset val="1"/>
      </rPr>
      <t xml:space="preserve">:</t>
    </r>
  </si>
  <si>
    <r>
      <rPr>
        <sz val="11"/>
        <color theme="1"/>
        <rFont val="Noto Sans CJK SC"/>
        <family val="2"/>
      </rPr>
      <t xml:space="preserve">早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</si>
  <si>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rFont val="Noto Sans CJK SC"/>
        <family val="2"/>
      </rPr>
      <t xml:space="preserve">早番</t>
    </r>
    <r>
      <rPr>
        <sz val="11"/>
        <rFont val="Arial"/>
        <family val="0"/>
        <charset val="1"/>
      </rPr>
      <t xml:space="preserve">A(</t>
    </r>
    <r>
      <rPr>
        <sz val="11"/>
        <rFont val="Noto Sans CJK SC"/>
        <family val="2"/>
      </rPr>
      <t xml:space="preserve">教育投資枠</t>
    </r>
    <r>
      <rPr>
        <sz val="1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</si>
  <si>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早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</si>
  <si>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rFont val="Noto Sans CJK SC"/>
        <family val="2"/>
      </rPr>
      <t xml:space="preserve">早番</t>
    </r>
    <r>
      <rPr>
        <sz val="11"/>
        <rFont val="Arial"/>
        <family val="0"/>
        <charset val="1"/>
      </rPr>
      <t xml:space="preserve">B</t>
    </r>
  </si>
  <si>
    <t xml:space="preserve">夜勤</t>
  </si>
  <si>
    <t xml:space="preserve">明け</t>
  </si>
  <si>
    <t xml:space="preserve">休み</t>
  </si>
  <si>
    <t xml:space="preserve">太赤枠</t>
  </si>
  <si>
    <t xml:space="preserve">希望休の申請あり</t>
  </si>
  <si>
    <r>
      <rPr>
        <b val="true"/>
        <sz val="11"/>
        <rFont val="Noto Sans CJK SC"/>
        <family val="2"/>
      </rPr>
      <t xml:space="preserve">現在のシフト健全度</t>
    </r>
    <r>
      <rPr>
        <b val="true"/>
        <sz val="11"/>
        <rFont val="Arial"/>
        <family val="0"/>
        <charset val="1"/>
      </rPr>
      <t xml:space="preserve">:</t>
    </r>
  </si>
  <si>
    <t xml:space="preserve">希望日</t>
  </si>
  <si>
    <t xml:space="preserve">理由</t>
  </si>
  <si>
    <t xml:space="preserve">割当中のシフト</t>
  </si>
  <si>
    <r>
      <rPr>
        <b val="true"/>
        <sz val="11"/>
        <color rgb="FFFFFFFF"/>
        <rFont val="Noto Sans CJK SC"/>
        <family val="2"/>
      </rPr>
      <t xml:space="preserve">承認後のチーム残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単独対応可能</t>
    </r>
    <r>
      <rPr>
        <b val="true"/>
        <sz val="11"/>
        <color rgb="FFFFFFFF"/>
        <rFont val="Arial"/>
        <family val="0"/>
        <charset val="1"/>
      </rPr>
      <t xml:space="preserve">)</t>
    </r>
    <r>
      <rPr>
        <b val="true"/>
        <sz val="11"/>
        <color rgb="FFFFFFFF"/>
        <rFont val="Noto Sans CJK SC"/>
        <family val="2"/>
      </rPr>
      <t xml:space="preserve">人数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</si>
  <si>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初期データ</t>
    </r>
    <r>
      <rPr>
        <sz val="11"/>
        <color theme="1"/>
        <rFont val="Calibri"/>
        <family val="2"/>
        <charset val="1"/>
      </rPr>
      <t xml:space="preserve">)</t>
    </r>
  </si>
  <si>
    <t xml:space="preserve">※「承認後のチーム残人数」は、そのチームで設備を単独対応以上でこなせる人数から、申請者本人の分を除いた人数です。</t>
  </si>
  <si>
    <t xml:space="preserve">教育担当が不在で頭打ちになっている箇所と対応案</t>
  </si>
  <si>
    <r>
      <rPr>
        <b val="true"/>
        <sz val="11"/>
        <rFont val="Noto Sans CJK SC"/>
        <family val="2"/>
      </rPr>
      <t xml:space="preserve">頭打ち箇所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設備の組み合わせ数</t>
    </r>
    <r>
      <rPr>
        <b val="true"/>
        <sz val="11"/>
        <rFont val="Arial"/>
        <family val="0"/>
        <charset val="1"/>
      </rPr>
      <t xml:space="preserve">)</t>
    </r>
  </si>
  <si>
    <t xml:space="preserve">実際に昇格が必要な人数</t>
  </si>
  <si>
    <r>
      <rPr>
        <i val="true"/>
        <sz val="9"/>
        <rFont val="Arial"/>
        <family val="0"/>
        <charset val="1"/>
      </rPr>
      <t xml:space="preserve">(1</t>
    </r>
    <r>
      <rPr>
        <i val="true"/>
        <sz val="9"/>
        <rFont val="Noto Sans CJK SC"/>
        <family val="2"/>
      </rPr>
      <t xml:space="preserve">人が同じチーム内の複数設備を兼任できるため、組み合わせ数より少なくて済む</t>
    </r>
    <r>
      <rPr>
        <i val="true"/>
        <sz val="9"/>
        <rFont val="Arial"/>
        <family val="0"/>
        <charset val="1"/>
      </rPr>
      <t xml:space="preserve">)</t>
    </r>
  </si>
  <si>
    <t xml:space="preserve">候補者</t>
  </si>
  <si>
    <r>
      <rPr>
        <b val="true"/>
        <sz val="11"/>
        <color rgb="FFFFFFFF"/>
        <rFont val="Noto Sans CJK SC"/>
        <family val="2"/>
      </rPr>
      <t xml:space="preserve">担当する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チーム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設備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</si>
  <si>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件数</t>
  </si>
  <si>
    <r>
      <rPr>
        <sz val="11"/>
        <color theme="1"/>
        <rFont val="Calibri"/>
        <family val="2"/>
        <charset val="1"/>
      </rPr>
      <t xml:space="preserve">A/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</si>
  <si>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Calibri"/>
        <family val="2"/>
        <charset val="1"/>
      </rPr>
      <t xml:space="preserve">B/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B/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</si>
  <si>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Calibri"/>
        <family val="2"/>
        <charset val="1"/>
      </rPr>
      <t xml:space="preserve">C/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C/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</si>
  <si>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Calibri"/>
        <family val="2"/>
        <charset val="1"/>
      </rPr>
      <t xml:space="preserve">D/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消防設備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</si>
  <si>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Calibri"/>
        <family val="2"/>
        <charset val="1"/>
      </rPr>
      <t xml:space="preserve">E/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消防設備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監視盤</t>
    </r>
  </si>
  <si>
    <r>
      <rPr>
        <b val="true"/>
        <sz val="11"/>
        <rFont val="Noto Sans CJK SC"/>
        <family val="2"/>
      </rPr>
      <t xml:space="preserve">箇所ごとの対応案</t>
    </r>
    <r>
      <rPr>
        <b val="true"/>
        <sz val="11"/>
        <rFont val="Arial"/>
        <family val="0"/>
        <charset val="1"/>
      </rPr>
      <t xml:space="preserve">(3</t>
    </r>
    <r>
      <rPr>
        <b val="true"/>
        <sz val="11"/>
        <rFont val="Noto Sans CJK SC"/>
        <family val="2"/>
      </rPr>
      <t xml:space="preserve">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</si>
  <si>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チーム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設備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</si>
  <si>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1: </t>
    </r>
    <r>
      <rPr>
        <b val="true"/>
        <sz val="11"/>
        <color rgb="FFFFFFFF"/>
        <rFont val="Noto Sans CJK SC"/>
        <family val="2"/>
      </rPr>
      <t xml:space="preserve">内部昇格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</si>
  <si>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2: </t>
    </r>
    <r>
      <rPr>
        <b val="true"/>
        <sz val="11"/>
        <color rgb="FFFFFFFF"/>
        <rFont val="Noto Sans CJK SC"/>
        <family val="2"/>
      </rPr>
      <t xml:space="preserve">他チームからの応援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</si>
  <si>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3: </t>
    </r>
    <r>
      <rPr>
        <b val="true"/>
        <sz val="11"/>
        <color rgb="FFFFFFFF"/>
        <rFont val="Noto Sans CJK SC"/>
        <family val="2"/>
      </rPr>
      <t xml:space="preserve">常駐化</t>
    </r>
    <r>
      <rPr>
        <b val="true"/>
        <sz val="11"/>
        <color rgb="FFFFFFFF"/>
        <rFont val="Arial"/>
        <family val="0"/>
        <charset val="1"/>
      </rPr>
      <t xml:space="preserve">+</t>
    </r>
    <r>
      <rPr>
        <b val="true"/>
        <sz val="11"/>
        <color rgb="FFFFFFFF"/>
        <rFont val="Noto Sans CJK SC"/>
        <family val="2"/>
      </rPr>
      <t xml:space="preserve">ローテーション制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</si>
  <si>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4: </t>
    </r>
    <r>
      <rPr>
        <b val="true"/>
        <sz val="11"/>
        <color rgb="FFFFFFFF"/>
        <rFont val="Noto Sans CJK SC"/>
        <family val="2"/>
      </rPr>
      <t xml:space="preserve">チーム編成の見直し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異動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</si>
  <si>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 / 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</si>
  <si>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</si>
  <si>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</si>
  <si>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佐藤 一郎など最もスキルの高いメンバーを一時的に教育専任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</si>
  <si>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</si>
  <si>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 / </t>
    </r>
    <r>
      <rPr>
        <sz val="11"/>
        <color theme="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</si>
  <si>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</si>
  <si>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</si>
  <si>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</si>
  <si>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</si>
  <si>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 / 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</si>
  <si>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 / </t>
    </r>
    <r>
      <rPr>
        <sz val="11"/>
        <color theme="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</si>
  <si>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</si>
  <si>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</si>
  <si>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高橋 三郎など最もスキルの高いメンバーを一時的に教育専任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</si>
  <si>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</si>
  <si>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 / 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</si>
  <si>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</si>
  <si>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</si>
  <si>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 / </t>
    </r>
    <r>
      <rPr>
        <sz val="11"/>
        <color theme="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</si>
  <si>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加藤 大輔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</si>
  <si>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</si>
  <si>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加藤 大輔など最もスキルの高いメンバーを一時的に教育専任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</si>
  <si>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</si>
  <si>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 / </t>
    </r>
    <r>
      <rPr>
        <sz val="11"/>
        <color theme="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</si>
  <si>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加藤 大輔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教育担当補助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</si>
  <si>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</si>
  <si>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 / 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</si>
  <si>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</si>
  <si>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</si>
  <si>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 / 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</si>
  <si>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E / </t>
    </r>
    <r>
      <rPr>
        <sz val="11"/>
        <color theme="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</si>
  <si>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吉田 匠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</si>
  <si>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</si>
  <si>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吉田 匠など最もスキルの高いメンバーを一時的に教育専任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</si>
  <si>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</si>
  <si>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E / </t>
    </r>
    <r>
      <rPr>
        <sz val="11"/>
        <color theme="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</si>
  <si>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</si>
  <si>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E / 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</si>
  <si>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吉田 匠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教育担当補助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</si>
  <si>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</si>
  <si>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</si>
  <si>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E / </t>
    </r>
    <r>
      <rPr>
        <sz val="11"/>
        <color theme="1"/>
        <rFont val="Noto Sans CJK SC"/>
        <family val="2"/>
      </rPr>
      <t xml:space="preserve">監視盤</t>
    </r>
  </si>
  <si>
    <r>
      <rPr>
        <i val="true"/>
        <sz val="9"/>
        <rFont val="Noto Sans CJK SC"/>
        <family val="2"/>
      </rPr>
      <t xml:space="preserve">「常駐化</t>
    </r>
    <r>
      <rPr>
        <i val="true"/>
        <sz val="9"/>
        <rFont val="Arial"/>
        <family val="0"/>
        <charset val="1"/>
      </rPr>
      <t xml:space="preserve">+</t>
    </r>
    <r>
      <rPr>
        <i val="true"/>
        <sz val="9"/>
        <rFont val="Noto Sans CJK SC"/>
        <family val="2"/>
      </rPr>
      <t xml:space="preserve">ローテーション制」は、最もスキルの高いメンバーを一時的に教育専任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常日勤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にする案。ただし特定の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人に固定すると不公平感が出るため、対象者を数ヶ月ごとに交代する運用を想定している。</t>
    </r>
  </si>
  <si>
    <t xml:space="preserve">経験月数</t>
  </si>
  <si>
    <t xml:space="preserve">資格</t>
  </si>
  <si>
    <t xml:space="preserve">受変電設備段階</t>
  </si>
  <si>
    <t xml:space="preserve">空調設備段階</t>
  </si>
  <si>
    <t xml:space="preserve">消防設備段階</t>
  </si>
  <si>
    <t xml:space="preserve">監視盤段階</t>
  </si>
  <si>
    <t xml:space="preserve">バックアップ可能業務</t>
  </si>
  <si>
    <r>
      <rPr>
        <b val="true"/>
        <sz val="11"/>
        <color rgb="FFFFFFFF"/>
        <rFont val="Noto Sans CJK SC"/>
        <family val="2"/>
      </rPr>
      <t xml:space="preserve">受変電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</si>
  <si>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空調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</si>
  <si>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消防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</si>
  <si>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監視盤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</si>
  <si>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t xml:space="preserve">いずれかで単独以上か</t>
  </si>
  <si>
    <r>
      <rPr>
        <sz val="11"/>
        <color theme="1"/>
        <rFont val="Noto Sans CJK SC"/>
        <family val="2"/>
      </rPr>
      <t xml:space="preserve">第二種電気工事士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第一種冷凍機械責任者</t>
    </r>
  </si>
  <si>
    <t xml:space="preserve">教育担当</t>
  </si>
  <si>
    <t xml:space="preserve">単独</t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</si>
  <si>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資格更新管理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新人教育計画</t>
    </r>
  </si>
  <si>
    <r>
      <rPr>
        <sz val="11"/>
        <color theme="1"/>
        <rFont val="Noto Sans CJK SC"/>
        <family val="2"/>
      </rPr>
      <t xml:space="preserve">第二種電気工事士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</t>
    </r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</si>
  <si>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イベント対応統括</t>
    </r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</si>
  <si>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第三種冷凍機械責任者</t>
    </r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</si>
  <si>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教育担当補助の育成</t>
    </r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</si>
  <si>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</t>
    </r>
  </si>
  <si>
    <t xml:space="preserve">補助</t>
  </si>
  <si>
    <t xml:space="preserve">夜勤単独対応</t>
  </si>
  <si>
    <t xml:space="preserve">空調設備対応</t>
  </si>
  <si>
    <t xml:space="preserve">監視盤対応</t>
  </si>
  <si>
    <t xml:space="preserve">見学</t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</si>
  <si>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第二種電気工事士</t>
    </r>
  </si>
  <si>
    <t xml:space="preserve">教育担当補助</t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</si>
  <si>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教育担当補助</t>
    </r>
  </si>
  <si>
    <t xml:space="preserve">夜勤リーダー代行</t>
  </si>
  <si>
    <t xml:space="preserve">消防設備対応</t>
  </si>
  <si>
    <t xml:space="preserve">段階名</t>
  </si>
  <si>
    <t xml:space="preserve">数値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</si>
</sst>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"/>
    <numFmt numFmtId="166" formatCode="General"/>
    <numFmt numFmtId="167" formatCode="m/d&quot;(土)&quot;"/>
    <numFmt numFmtId="168" formatCode="m/d&quot;(日)&quot;"/>
    <numFmt numFmtId="169" formatCode="m/d&quot;(月)&quot;"/>
    <numFmt numFmtId="170" formatCode="m/d&quot;(火)&quot;"/>
    <numFmt numFmtId="171" formatCode="m/d&quot;(水)&quot;"/>
    <numFmt numFmtId="172" formatCode="m/d&quot;(木)&quot;"/>
    <numFmt numFmtId="173" formatCode="m/d&quot;(金)&quot;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Noto Sans CJK SC"/>
      <family val="2"/>
    </font>
    <font>
      <b val="true"/>
      <sz val="16"/>
      <name val="Arial"/>
      <family val="0"/>
      <charset val="1"/>
    </font>
    <font>
      <b val="true"/>
      <sz val="11"/>
      <name val="Noto Sans CJK SC"/>
      <family val="2"/>
    </font>
    <font>
      <b val="true"/>
      <sz val="20"/>
      <name val="Arial"/>
      <family val="0"/>
      <charset val="1"/>
    </font>
    <font>
      <b val="true"/>
      <sz val="11"/>
      <color rgb="FFFFFFFF"/>
      <name val="Noto Sans CJK SC"/>
      <family val="2"/>
    </font>
    <font>
      <sz val="11"/>
      <name val="Noto Sans CJK SC"/>
      <family val="2"/>
    </font>
    <font>
      <b val="true"/>
      <sz val="13"/>
      <name val="Noto Sans CJK SC"/>
      <family val="2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color theme="1"/>
      <name val="Noto Sans CJK SC"/>
      <family val="2"/>
    </font>
    <font>
      <b val="true"/>
      <sz val="11"/>
      <color rgb="FFFFFFFF"/>
      <name val="Arial"/>
      <family val="0"/>
      <charset val="1"/>
    </font>
    <font>
      <i val="true"/>
      <sz val="10"/>
      <name val="Noto Sans CJK SC"/>
      <family val="2"/>
    </font>
    <font>
      <i val="true"/>
      <sz val="10"/>
      <name val="Arial"/>
      <family val="0"/>
      <charset val="1"/>
    </font>
    <font>
      <sz val="11"/>
      <name val="Arial"/>
      <family val="0"/>
      <charset val="1"/>
    </font>
    <font>
      <sz val="10"/>
      <name val="Noto Sans CJK SC"/>
      <family val="2"/>
    </font>
    <font>
      <i val="true"/>
      <sz val="9"/>
      <name val="Noto Sans CJK SC"/>
      <family val="2"/>
    </font>
    <font>
      <i val="true"/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3B4C"/>
        <bgColor rgb="FF333300"/>
      </patternFill>
    </fill>
    <fill>
      <patternFill patternType="solid">
        <fgColor rgb="FFE4D6F7"/>
        <bgColor rgb="FFD6E4F0"/>
      </patternFill>
    </fill>
    <fill>
      <patternFill patternType="solid">
        <fgColor rgb="FFFDECC8"/>
        <bgColor rgb="FFE8E8E8"/>
      </patternFill>
    </fill>
    <fill>
      <patternFill patternType="solid">
        <fgColor rgb="FFD6E4F0"/>
        <bgColor rgb="FFE8E8E8"/>
      </patternFill>
    </fill>
    <fill>
      <patternFill patternType="solid">
        <fgColor rgb="FFE8E8E8"/>
        <bgColor rgb="FFD6E4F0"/>
      </patternFill>
    </fill>
    <fill>
      <patternFill patternType="solid">
        <fgColor rgb="FFD9F2E3"/>
        <bgColor rgb="FFE8E8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ck">
        <color rgb="FFC0392B"/>
      </left>
      <right style="thick">
        <color rgb="FFC0392B"/>
      </right>
      <top style="thick">
        <color rgb="FFC0392B"/>
      </top>
      <bottom style="thick">
        <color rgb="FFC0392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CC8"/>
      <rgbColor rgb="FFD6E4F0"/>
      <rgbColor rgb="FF660066"/>
      <rgbColor rgb="FFFF8080"/>
      <rgbColor rgb="FF0066CC"/>
      <rgbColor rgb="FFE4D6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D9F2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0392B"/>
      <rgbColor rgb="FF993366"/>
      <rgbColor rgb="FF333399"/>
      <rgbColor rgb="FF2F3B4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4" min="3" style="0" width="16"/>
  </cols>
  <sheetData>
    <row r="1" customFormat="false" ht="23.85" hidden="false" customHeight="false" outlineLevel="0" collapsed="false">
      <c r="A1" s="1" t="s">
        <v>0</v>
      </c>
      <c r="B1" s="1"/>
      <c r="C1" s="1"/>
      <c r="D1" s="1"/>
    </row>
    <row r="3" customFormat="false" ht="24.45" hidden="false" customHeight="false" outlineLevel="0" collapsed="false">
      <c r="A3" s="2" t="s">
        <v>1</v>
      </c>
      <c r="C3" s="3" t="n">
        <f aca="false">B13</f>
        <v>71.5833333333333</v>
      </c>
    </row>
    <row r="4" customFormat="false" ht="17.15" hidden="false" customHeight="false" outlineLevel="0" collapsed="false">
      <c r="A4" s="2" t="s">
        <v>2</v>
      </c>
      <c r="C4" s="0" t="str">
        <f aca="false">IF(C3&gt;=80,"安全:突発休暇があっても対応可能",IF(C3&gt;=60,"要注意:イベント重複時は厳しい可能性","要対応:バックアップ確保が必要"))</f>
        <v>要注意:イベント重複時は厳しい可能性</v>
      </c>
    </row>
    <row r="6" customFormat="false" ht="15" hidden="false" customHeight="false" outlineLevel="0" collapsed="false">
      <c r="A6" s="4" t="s">
        <v>3</v>
      </c>
      <c r="B6" s="4" t="s">
        <v>4</v>
      </c>
    </row>
    <row r="7" customFormat="false" ht="15" hidden="false" customHeight="false" outlineLevel="0" collapsed="false">
      <c r="A7" s="5" t="s">
        <v>5</v>
      </c>
      <c r="B7" s="6" t="n">
        <f aca="false">B39</f>
        <v>41.25</v>
      </c>
    </row>
    <row r="8" customFormat="false" ht="15" hidden="false" customHeight="false" outlineLevel="0" collapsed="false">
      <c r="A8" s="5" t="s">
        <v>6</v>
      </c>
      <c r="B8" s="6" t="n">
        <f aca="false">C21</f>
        <v>100</v>
      </c>
    </row>
    <row r="9" customFormat="false" ht="15" hidden="false" customHeight="false" outlineLevel="0" collapsed="false">
      <c r="A9" s="5" t="s">
        <v>7</v>
      </c>
      <c r="B9" s="6" t="n">
        <f aca="false">D37</f>
        <v>50</v>
      </c>
    </row>
    <row r="10" customFormat="false" ht="15" hidden="false" customHeight="false" outlineLevel="0" collapsed="false">
      <c r="A10" s="5" t="s">
        <v>8</v>
      </c>
      <c r="B10" s="6" t="n">
        <f aca="false">B40</f>
        <v>66.6666666666667</v>
      </c>
    </row>
    <row r="11" customFormat="false" ht="15" hidden="false" customHeight="false" outlineLevel="0" collapsed="false">
      <c r="A11" s="5" t="s">
        <v>9</v>
      </c>
      <c r="B11" s="6" t="n">
        <f aca="false">D30</f>
        <v>100</v>
      </c>
    </row>
    <row r="13" customFormat="false" ht="16.15" hidden="false" customHeight="false" outlineLevel="0" collapsed="false">
      <c r="A13" s="7" t="s">
        <v>1</v>
      </c>
      <c r="B13" s="8" t="n">
        <f aca="false">AVERAGE(B7,B8,B9,B10,B11)</f>
        <v>71.5833333333333</v>
      </c>
    </row>
    <row r="15" customFormat="false" ht="17.15" hidden="false" customHeight="false" outlineLevel="0" collapsed="false">
      <c r="A15" s="2" t="s">
        <v>10</v>
      </c>
    </row>
    <row r="16" customFormat="false" ht="15" hidden="false" customHeight="false" outlineLevel="0" collapsed="false">
      <c r="A16" s="4" t="s">
        <v>11</v>
      </c>
      <c r="B16" s="4" t="s">
        <v>12</v>
      </c>
      <c r="C16" s="4" t="s">
        <v>4</v>
      </c>
    </row>
    <row r="17" customFormat="false" ht="15" hidden="false" customHeight="false" outlineLevel="0" collapsed="false">
      <c r="A17" s="9" t="s">
        <v>13</v>
      </c>
      <c r="B17" s="0" t="n">
        <f aca="false">COUNTIF(メンバーデータ!K2:K16,"&gt;=2")</f>
        <v>7</v>
      </c>
      <c r="C17" s="6" t="n">
        <f aca="false">MIN(B17,3)/3*100</f>
        <v>100</v>
      </c>
    </row>
    <row r="18" customFormat="false" ht="15" hidden="false" customHeight="false" outlineLevel="0" collapsed="false">
      <c r="A18" s="9" t="s">
        <v>14</v>
      </c>
      <c r="B18" s="0" t="n">
        <f aca="false">COUNTIF(メンバーデータ!L2:L16,"&gt;=2")</f>
        <v>9</v>
      </c>
      <c r="C18" s="6" t="n">
        <f aca="false">MIN(B18,3)/3*100</f>
        <v>100</v>
      </c>
    </row>
    <row r="19" customFormat="false" ht="15" hidden="false" customHeight="false" outlineLevel="0" collapsed="false">
      <c r="A19" s="9" t="s">
        <v>15</v>
      </c>
      <c r="B19" s="0" t="n">
        <f aca="false">COUNTIF(メンバーデータ!M2:M16,"&gt;=2")</f>
        <v>8</v>
      </c>
      <c r="C19" s="6" t="n">
        <f aca="false">MIN(B19,3)/3*100</f>
        <v>100</v>
      </c>
    </row>
    <row r="20" customFormat="false" ht="15" hidden="false" customHeight="false" outlineLevel="0" collapsed="false">
      <c r="A20" s="9" t="s">
        <v>16</v>
      </c>
      <c r="B20" s="0" t="n">
        <f aca="false">COUNTIF(メンバーデータ!N2:N16,"&gt;=2")</f>
        <v>9</v>
      </c>
      <c r="C20" s="6" t="n">
        <f aca="false">MIN(B20,3)/3*100</f>
        <v>100</v>
      </c>
    </row>
    <row r="21" customFormat="false" ht="17.15" hidden="false" customHeight="false" outlineLevel="0" collapsed="false">
      <c r="A21" s="2" t="s">
        <v>17</v>
      </c>
      <c r="C21" s="6" t="n">
        <f aca="false">AVERAGE(C17,C18,C19,C20)</f>
        <v>100</v>
      </c>
    </row>
    <row r="23" customFormat="false" ht="17.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4" t="s">
        <v>19</v>
      </c>
      <c r="B24" s="4" t="s">
        <v>20</v>
      </c>
      <c r="C24" s="4" t="s">
        <v>21</v>
      </c>
      <c r="D24" s="4" t="s">
        <v>4</v>
      </c>
    </row>
    <row r="25" customFormat="false" ht="15" hidden="false" customHeight="false" outlineLevel="0" collapsed="false">
      <c r="A25" s="0" t="s">
        <v>22</v>
      </c>
      <c r="B25" s="0" t="n">
        <f aca="false">SUMIFS(メンバーデータ!$O:$O,メンバーデータ!$B:$B,"A")</f>
        <v>3</v>
      </c>
      <c r="C25" s="0" t="n">
        <f aca="false">COUNTIF(メンバーデータ!$B:$B,"A")</f>
        <v>3</v>
      </c>
      <c r="D25" s="6" t="n">
        <f aca="false">MIN(B25,2)/2*100</f>
        <v>100</v>
      </c>
    </row>
    <row r="26" customFormat="false" ht="15" hidden="false" customHeight="false" outlineLevel="0" collapsed="false">
      <c r="A26" s="0" t="s">
        <v>23</v>
      </c>
      <c r="B26" s="0" t="n">
        <f aca="false">SUMIFS(メンバーデータ!$O:$O,メンバーデータ!$B:$B,"B")</f>
        <v>2</v>
      </c>
      <c r="C26" s="0" t="n">
        <f aca="false">COUNTIF(メンバーデータ!$B:$B,"B")</f>
        <v>3</v>
      </c>
      <c r="D26" s="6" t="n">
        <f aca="false">MIN(B26,2)/2*100</f>
        <v>100</v>
      </c>
    </row>
    <row r="27" customFormat="false" ht="15" hidden="false" customHeight="false" outlineLevel="0" collapsed="false">
      <c r="A27" s="0" t="s">
        <v>24</v>
      </c>
      <c r="B27" s="0" t="n">
        <f aca="false">SUMIFS(メンバーデータ!$O:$O,メンバーデータ!$B:$B,"C")</f>
        <v>2</v>
      </c>
      <c r="C27" s="0" t="n">
        <f aca="false">COUNTIF(メンバーデータ!$B:$B,"C")</f>
        <v>3</v>
      </c>
      <c r="D27" s="6" t="n">
        <f aca="false">MIN(B27,2)/2*100</f>
        <v>100</v>
      </c>
    </row>
    <row r="28" customFormat="false" ht="15" hidden="false" customHeight="false" outlineLevel="0" collapsed="false">
      <c r="A28" s="0" t="s">
        <v>25</v>
      </c>
      <c r="B28" s="0" t="n">
        <f aca="false">SUMIFS(メンバーデータ!$O:$O,メンバーデータ!$B:$B,"D")</f>
        <v>2</v>
      </c>
      <c r="C28" s="0" t="n">
        <f aca="false">COUNTIF(メンバーデータ!$B:$B,"D")</f>
        <v>3</v>
      </c>
      <c r="D28" s="6" t="n">
        <f aca="false">MIN(B28,2)/2*100</f>
        <v>100</v>
      </c>
    </row>
    <row r="29" customFormat="false" ht="15" hidden="false" customHeight="false" outlineLevel="0" collapsed="false">
      <c r="A29" s="0" t="s">
        <v>26</v>
      </c>
      <c r="B29" s="0" t="n">
        <f aca="false">SUMIFS(メンバーデータ!$O:$O,メンバーデータ!$B:$B,"E")</f>
        <v>2</v>
      </c>
      <c r="C29" s="0" t="n">
        <f aca="false">COUNTIF(メンバーデータ!$B:$B,"E")</f>
        <v>3</v>
      </c>
      <c r="D29" s="6" t="n">
        <f aca="false">MIN(B29,2)/2*100</f>
        <v>100</v>
      </c>
    </row>
    <row r="30" customFormat="false" ht="17.15" hidden="false" customHeight="false" outlineLevel="0" collapsed="false">
      <c r="A30" s="2" t="s">
        <v>27</v>
      </c>
      <c r="D30" s="6" t="n">
        <f aca="false">AVERAGE(D25,D26,D27,D28,D29)</f>
        <v>100</v>
      </c>
    </row>
    <row r="32" customFormat="false" ht="17.15" hidden="false" customHeight="false" outlineLevel="0" collapsed="false">
      <c r="A32" s="2" t="s">
        <v>28</v>
      </c>
    </row>
    <row r="33" customFormat="false" ht="15" hidden="false" customHeight="false" outlineLevel="0" collapsed="false">
      <c r="A33" s="4" t="s">
        <v>11</v>
      </c>
      <c r="B33" s="4" t="s">
        <v>29</v>
      </c>
      <c r="C33" s="4" t="s">
        <v>30</v>
      </c>
    </row>
    <row r="34" customFormat="false" ht="15" hidden="false" customHeight="false" outlineLevel="0" collapsed="false">
      <c r="A34" s="9" t="s">
        <v>13</v>
      </c>
      <c r="B34" s="0" t="n">
        <f aca="false">COUNTIF(メンバーデータ!K2:K16,"&gt;=2")</f>
        <v>7</v>
      </c>
      <c r="C34" s="0" t="n">
        <f aca="false">SUMPRODUCT((メンバーデータ!K$2:K$16&gt;=2)*((ISNUMBER(SEARCH("第二種電気工事士",メンバーデータ!$E$2:$E$16)))&gt;0))</f>
        <v>3</v>
      </c>
    </row>
    <row r="35" customFormat="false" ht="15" hidden="false" customHeight="false" outlineLevel="0" collapsed="false">
      <c r="A35" s="9" t="s">
        <v>14</v>
      </c>
      <c r="B35" s="0" t="n">
        <f aca="false">COUNTIF(メンバーデータ!L2:L16,"&gt;=2")</f>
        <v>9</v>
      </c>
      <c r="C35" s="0" t="n">
        <f aca="false">SUMPRODUCT((メンバーデータ!L$2:L$16&gt;=2)*((ISNUMBER(SEARCH("第一種冷凍機械責任者",メンバーデータ!$E$2:$E$16))+ISNUMBER(SEARCH("第三種冷凍機械責任者",メンバーデータ!$E$2:$E$16)))&gt;0))</f>
        <v>2</v>
      </c>
    </row>
    <row r="36" customFormat="false" ht="15" hidden="false" customHeight="false" outlineLevel="0" collapsed="false">
      <c r="A36" s="9" t="s">
        <v>15</v>
      </c>
      <c r="B36" s="0" t="n">
        <f aca="false">COUNTIF(メンバーデータ!M2:M16,"&gt;=2")</f>
        <v>8</v>
      </c>
      <c r="C36" s="0" t="n">
        <f aca="false">SUMPRODUCT((メンバーデータ!M$2:M$16&gt;=2)*((ISNUMBER(SEARCH("危険物取扱者乙4",メンバーデータ!$E$2:$E$16)))&gt;0))</f>
        <v>7</v>
      </c>
    </row>
    <row r="37" customFormat="false" ht="17.15" hidden="false" customHeight="false" outlineLevel="0" collapsed="false">
      <c r="A37" s="2" t="s">
        <v>31</v>
      </c>
      <c r="B37" s="10" t="n">
        <f aca="false">SUM(B34,B35,B36)</f>
        <v>24</v>
      </c>
      <c r="C37" s="10" t="n">
        <f aca="false">SUM(C34,C35,C36)</f>
        <v>12</v>
      </c>
      <c r="D37" s="6" t="n">
        <f aca="false">C37/B37*100</f>
        <v>50</v>
      </c>
    </row>
    <row r="39" customFormat="false" ht="15" hidden="false" customHeight="false" outlineLevel="0" collapsed="false">
      <c r="A39" s="2" t="s">
        <v>5</v>
      </c>
      <c r="B39" s="6" t="n">
        <f aca="false">AVERAGE(メンバーデータ!K2:N16)/4*100</f>
        <v>41.25</v>
      </c>
    </row>
    <row r="40" customFormat="false" ht="15" hidden="false" customHeight="false" outlineLevel="0" collapsed="false">
      <c r="A40" s="2" t="s">
        <v>8</v>
      </c>
      <c r="B40" s="6" t="n">
        <f aca="false">COUNTIF(メンバーデータ!J2:J16,"?*")/COUNTA(メンバーデータ!A2:A16)*100</f>
        <v>66.6666666666667</v>
      </c>
    </row>
    <row r="42" customFormat="false" ht="17.15" hidden="false" customHeight="false" outlineLevel="0" collapsed="false">
      <c r="A42" s="2" t="s">
        <v>32</v>
      </c>
    </row>
    <row r="43" customFormat="false" ht="17.15" hidden="false" customHeight="false" outlineLevel="0" collapsed="false">
      <c r="A43" s="4" t="s">
        <v>19</v>
      </c>
      <c r="B43" s="4" t="s">
        <v>33</v>
      </c>
    </row>
    <row r="44" customFormat="false" ht="15" hidden="false" customHeight="false" outlineLevel="0" collapsed="false">
      <c r="A44" s="0" t="s">
        <v>22</v>
      </c>
      <c r="B44" s="0" t="n">
        <f aca="false">AVERAGEIF('シフト表(2026年8月)'!$B$2:$B$16,"A",'シフト表(2026年8月)'!$AI$2:$AI$16)</f>
        <v>7</v>
      </c>
    </row>
    <row r="45" customFormat="false" ht="15" hidden="false" customHeight="false" outlineLevel="0" collapsed="false">
      <c r="A45" s="0" t="s">
        <v>23</v>
      </c>
      <c r="B45" s="0" t="n">
        <f aca="false">AVERAGEIF('シフト表(2026年8月)'!$B$2:$B$16,"B",'シフト表(2026年8月)'!$AI$2:$AI$16)</f>
        <v>6</v>
      </c>
    </row>
    <row r="46" customFormat="false" ht="15" hidden="false" customHeight="false" outlineLevel="0" collapsed="false">
      <c r="A46" s="0" t="s">
        <v>24</v>
      </c>
      <c r="B46" s="0" t="n">
        <f aca="false">AVERAGEIF('シフト表(2026年8月)'!$B$2:$B$16,"C",'シフト表(2026年8月)'!$AI$2:$AI$16)</f>
        <v>6</v>
      </c>
    </row>
    <row r="47" customFormat="false" ht="15" hidden="false" customHeight="false" outlineLevel="0" collapsed="false">
      <c r="A47" s="0" t="s">
        <v>25</v>
      </c>
      <c r="B47" s="0" t="n">
        <f aca="false">AVERAGEIF('シフト表(2026年8月)'!$B$2:$B$16,"D",'シフト表(2026年8月)'!$AI$2:$AI$16)</f>
        <v>6</v>
      </c>
    </row>
    <row r="48" customFormat="false" ht="15" hidden="false" customHeight="false" outlineLevel="0" collapsed="false">
      <c r="A48" s="0" t="s">
        <v>26</v>
      </c>
      <c r="B48" s="0" t="n">
        <f aca="false">AVERAGEIF('シフト表(2026年8月)'!$B$2:$B$16,"E",'シフト表(2026年8月)'!$AI$2:$AI$16)</f>
        <v>6</v>
      </c>
    </row>
    <row r="51" customFormat="false" ht="15" hidden="false" customHeight="false" outlineLevel="0" collapsed="false">
      <c r="A51" s="2" t="s">
        <v>34</v>
      </c>
    </row>
    <row r="52" customFormat="false" ht="15" hidden="false" customHeight="false" outlineLevel="0" collapsed="false">
      <c r="A52" s="4" t="s">
        <v>35</v>
      </c>
      <c r="B52" s="4" t="s">
        <v>36</v>
      </c>
    </row>
    <row r="53" customFormat="false" ht="17.15" hidden="false" customHeight="false" outlineLevel="0" collapsed="false">
      <c r="A53" s="0" t="s">
        <v>37</v>
      </c>
      <c r="B53" s="9" t="s">
        <v>38</v>
      </c>
    </row>
    <row r="54" customFormat="false" ht="17.15" hidden="false" customHeight="false" outlineLevel="0" collapsed="false">
      <c r="A54" s="0" t="s">
        <v>39</v>
      </c>
      <c r="B54" s="9" t="s">
        <v>40</v>
      </c>
    </row>
    <row r="55" customFormat="false" ht="17.15" hidden="false" customHeight="false" outlineLevel="0" collapsed="false">
      <c r="A55" s="0" t="s">
        <v>41</v>
      </c>
      <c r="B55" s="9" t="s">
        <v>42</v>
      </c>
    </row>
    <row r="58" customFormat="false" ht="60" hidden="false" customHeight="true" outlineLevel="0" collapsed="false">
      <c r="A58" s="11" t="s">
        <v>43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4" min="4" style="0" width="6"/>
    <col collapsed="false" customWidth="true" hidden="false" outlineLevel="0" max="35" min="35" style="0" width="14"/>
  </cols>
  <sheetData>
    <row r="1" customFormat="false" ht="17.15" hidden="false" customHeight="false" outlineLevel="0" collapsed="false">
      <c r="A1" s="4" t="s">
        <v>44</v>
      </c>
      <c r="B1" s="4" t="s">
        <v>19</v>
      </c>
      <c r="C1" s="4" t="s">
        <v>45</v>
      </c>
      <c r="D1" s="12" t="n">
        <v>46235</v>
      </c>
      <c r="E1" s="13" t="n">
        <v>46236</v>
      </c>
      <c r="F1" s="14" t="n">
        <v>46237</v>
      </c>
      <c r="G1" s="15" t="n">
        <v>46238</v>
      </c>
      <c r="H1" s="16" t="n">
        <v>46239</v>
      </c>
      <c r="I1" s="17" t="n">
        <v>46240</v>
      </c>
      <c r="J1" s="18" t="n">
        <v>46241</v>
      </c>
      <c r="K1" s="12" t="n">
        <v>46242</v>
      </c>
      <c r="L1" s="13" t="n">
        <v>46243</v>
      </c>
      <c r="M1" s="14" t="n">
        <v>46244</v>
      </c>
      <c r="N1" s="15" t="n">
        <v>46245</v>
      </c>
      <c r="O1" s="16" t="n">
        <v>46246</v>
      </c>
      <c r="P1" s="17" t="n">
        <v>46247</v>
      </c>
      <c r="Q1" s="18" t="n">
        <v>46248</v>
      </c>
      <c r="R1" s="12" t="n">
        <v>46249</v>
      </c>
      <c r="S1" s="13" t="n">
        <v>46250</v>
      </c>
      <c r="T1" s="14" t="n">
        <v>46251</v>
      </c>
      <c r="U1" s="15" t="n">
        <v>46252</v>
      </c>
      <c r="V1" s="16" t="n">
        <v>46253</v>
      </c>
      <c r="W1" s="17" t="n">
        <v>46254</v>
      </c>
      <c r="X1" s="18" t="n">
        <v>46255</v>
      </c>
      <c r="Y1" s="12" t="n">
        <v>46256</v>
      </c>
      <c r="Z1" s="13" t="n">
        <v>46257</v>
      </c>
      <c r="AA1" s="14" t="n">
        <v>46258</v>
      </c>
      <c r="AB1" s="15" t="n">
        <v>46259</v>
      </c>
      <c r="AC1" s="16" t="n">
        <v>46260</v>
      </c>
      <c r="AD1" s="17" t="n">
        <v>46261</v>
      </c>
      <c r="AE1" s="18" t="n">
        <v>46262</v>
      </c>
      <c r="AF1" s="12" t="n">
        <v>46263</v>
      </c>
      <c r="AG1" s="13" t="n">
        <v>46264</v>
      </c>
      <c r="AH1" s="14" t="n">
        <v>46265</v>
      </c>
      <c r="AI1" s="4" t="s">
        <v>33</v>
      </c>
    </row>
    <row r="2" customFormat="false" ht="17.15" hidden="false" customHeight="false" outlineLevel="0" collapsed="false">
      <c r="A2" s="9" t="s">
        <v>46</v>
      </c>
      <c r="B2" s="0" t="s">
        <v>22</v>
      </c>
      <c r="C2" s="9" t="s">
        <v>47</v>
      </c>
      <c r="D2" s="19" t="s">
        <v>48</v>
      </c>
      <c r="E2" s="20" t="s">
        <v>49</v>
      </c>
      <c r="F2" s="21" t="s">
        <v>50</v>
      </c>
      <c r="G2" s="22" t="s">
        <v>51</v>
      </c>
      <c r="H2" s="23" t="s">
        <v>52</v>
      </c>
      <c r="I2" s="19" t="s">
        <v>48</v>
      </c>
      <c r="J2" s="20" t="s">
        <v>49</v>
      </c>
      <c r="K2" s="21" t="s">
        <v>50</v>
      </c>
      <c r="L2" s="22" t="s">
        <v>51</v>
      </c>
      <c r="M2" s="23" t="s">
        <v>52</v>
      </c>
      <c r="N2" s="19" t="s">
        <v>48</v>
      </c>
      <c r="O2" s="20" t="s">
        <v>49</v>
      </c>
      <c r="P2" s="21" t="s">
        <v>50</v>
      </c>
      <c r="Q2" s="22" t="s">
        <v>51</v>
      </c>
      <c r="R2" s="23" t="s">
        <v>52</v>
      </c>
      <c r="S2" s="19" t="s">
        <v>48</v>
      </c>
      <c r="T2" s="20" t="s">
        <v>49</v>
      </c>
      <c r="U2" s="21" t="s">
        <v>50</v>
      </c>
      <c r="V2" s="22" t="s">
        <v>51</v>
      </c>
      <c r="W2" s="23" t="s">
        <v>52</v>
      </c>
      <c r="X2" s="19" t="s">
        <v>48</v>
      </c>
      <c r="Y2" s="20" t="s">
        <v>49</v>
      </c>
      <c r="Z2" s="21" t="s">
        <v>50</v>
      </c>
      <c r="AA2" s="22" t="s">
        <v>51</v>
      </c>
      <c r="AB2" s="23" t="s">
        <v>52</v>
      </c>
      <c r="AC2" s="19" t="s">
        <v>48</v>
      </c>
      <c r="AD2" s="20" t="s">
        <v>49</v>
      </c>
      <c r="AE2" s="21" t="s">
        <v>50</v>
      </c>
      <c r="AF2" s="22" t="s">
        <v>51</v>
      </c>
      <c r="AG2" s="23" t="s">
        <v>52</v>
      </c>
      <c r="AH2" s="19" t="s">
        <v>48</v>
      </c>
      <c r="AI2" s="10" t="n">
        <f aca="false">COUNTIF(D2:AH2,"早A")</f>
        <v>7</v>
      </c>
    </row>
    <row r="3" customFormat="false" ht="17.15" hidden="false" customHeight="false" outlineLevel="0" collapsed="false">
      <c r="A3" s="9" t="s">
        <v>53</v>
      </c>
      <c r="B3" s="0" t="s">
        <v>23</v>
      </c>
      <c r="C3" s="9" t="s">
        <v>47</v>
      </c>
      <c r="D3" s="20" t="s">
        <v>49</v>
      </c>
      <c r="E3" s="21" t="s">
        <v>50</v>
      </c>
      <c r="F3" s="22" t="s">
        <v>51</v>
      </c>
      <c r="G3" s="23" t="s">
        <v>52</v>
      </c>
      <c r="H3" s="19" t="s">
        <v>48</v>
      </c>
      <c r="I3" s="20" t="s">
        <v>49</v>
      </c>
      <c r="J3" s="21" t="s">
        <v>50</v>
      </c>
      <c r="K3" s="22" t="s">
        <v>51</v>
      </c>
      <c r="L3" s="23" t="s">
        <v>52</v>
      </c>
      <c r="M3" s="19" t="s">
        <v>48</v>
      </c>
      <c r="N3" s="20" t="s">
        <v>49</v>
      </c>
      <c r="O3" s="21" t="s">
        <v>50</v>
      </c>
      <c r="P3" s="22" t="s">
        <v>51</v>
      </c>
      <c r="Q3" s="23" t="s">
        <v>52</v>
      </c>
      <c r="R3" s="19" t="s">
        <v>48</v>
      </c>
      <c r="S3" s="20" t="s">
        <v>49</v>
      </c>
      <c r="T3" s="21" t="s">
        <v>50</v>
      </c>
      <c r="U3" s="22" t="s">
        <v>51</v>
      </c>
      <c r="V3" s="23" t="s">
        <v>52</v>
      </c>
      <c r="W3" s="19" t="s">
        <v>48</v>
      </c>
      <c r="X3" s="20" t="s">
        <v>49</v>
      </c>
      <c r="Y3" s="21" t="s">
        <v>50</v>
      </c>
      <c r="Z3" s="22" t="s">
        <v>51</v>
      </c>
      <c r="AA3" s="23" t="s">
        <v>52</v>
      </c>
      <c r="AB3" s="19" t="s">
        <v>48</v>
      </c>
      <c r="AC3" s="20" t="s">
        <v>49</v>
      </c>
      <c r="AD3" s="21" t="s">
        <v>50</v>
      </c>
      <c r="AE3" s="22" t="s">
        <v>51</v>
      </c>
      <c r="AF3" s="23" t="s">
        <v>52</v>
      </c>
      <c r="AG3" s="19" t="s">
        <v>48</v>
      </c>
      <c r="AH3" s="20" t="s">
        <v>49</v>
      </c>
      <c r="AI3" s="10" t="n">
        <f aca="false">COUNTIF(D3:AH3,"早A")</f>
        <v>6</v>
      </c>
    </row>
    <row r="4" customFormat="false" ht="17.15" hidden="false" customHeight="false" outlineLevel="0" collapsed="false">
      <c r="A4" s="9" t="s">
        <v>54</v>
      </c>
      <c r="B4" s="0" t="s">
        <v>24</v>
      </c>
      <c r="C4" s="9" t="s">
        <v>47</v>
      </c>
      <c r="D4" s="21" t="s">
        <v>50</v>
      </c>
      <c r="E4" s="22" t="s">
        <v>51</v>
      </c>
      <c r="F4" s="23" t="s">
        <v>52</v>
      </c>
      <c r="G4" s="19" t="s">
        <v>48</v>
      </c>
      <c r="H4" s="20" t="s">
        <v>49</v>
      </c>
      <c r="I4" s="21" t="s">
        <v>50</v>
      </c>
      <c r="J4" s="22" t="s">
        <v>51</v>
      </c>
      <c r="K4" s="23" t="s">
        <v>52</v>
      </c>
      <c r="L4" s="19" t="s">
        <v>48</v>
      </c>
      <c r="M4" s="20" t="s">
        <v>49</v>
      </c>
      <c r="N4" s="21" t="s">
        <v>50</v>
      </c>
      <c r="O4" s="22" t="s">
        <v>51</v>
      </c>
      <c r="P4" s="23" t="s">
        <v>52</v>
      </c>
      <c r="Q4" s="19" t="s">
        <v>48</v>
      </c>
      <c r="R4" s="20" t="s">
        <v>49</v>
      </c>
      <c r="S4" s="21" t="s">
        <v>50</v>
      </c>
      <c r="T4" s="22" t="s">
        <v>51</v>
      </c>
      <c r="U4" s="23" t="s">
        <v>52</v>
      </c>
      <c r="V4" s="19" t="s">
        <v>48</v>
      </c>
      <c r="W4" s="20" t="s">
        <v>49</v>
      </c>
      <c r="X4" s="21" t="s">
        <v>50</v>
      </c>
      <c r="Y4" s="22" t="s">
        <v>51</v>
      </c>
      <c r="Z4" s="23" t="s">
        <v>52</v>
      </c>
      <c r="AA4" s="19" t="s">
        <v>48</v>
      </c>
      <c r="AB4" s="20" t="s">
        <v>49</v>
      </c>
      <c r="AC4" s="21" t="s">
        <v>50</v>
      </c>
      <c r="AD4" s="22" t="s">
        <v>51</v>
      </c>
      <c r="AE4" s="23" t="s">
        <v>52</v>
      </c>
      <c r="AF4" s="19" t="s">
        <v>48</v>
      </c>
      <c r="AG4" s="20" t="s">
        <v>49</v>
      </c>
      <c r="AH4" s="21" t="s">
        <v>50</v>
      </c>
      <c r="AI4" s="10" t="n">
        <f aca="false">COUNTIF(D4:AH4,"早A")</f>
        <v>6</v>
      </c>
    </row>
    <row r="5" customFormat="false" ht="17.15" hidden="false" customHeight="false" outlineLevel="0" collapsed="false">
      <c r="A5" s="9" t="s">
        <v>55</v>
      </c>
      <c r="B5" s="0" t="s">
        <v>22</v>
      </c>
      <c r="C5" s="9" t="s">
        <v>56</v>
      </c>
      <c r="D5" s="19" t="s">
        <v>48</v>
      </c>
      <c r="E5" s="20" t="s">
        <v>49</v>
      </c>
      <c r="F5" s="21" t="s">
        <v>50</v>
      </c>
      <c r="G5" s="22" t="s">
        <v>51</v>
      </c>
      <c r="H5" s="23" t="s">
        <v>52</v>
      </c>
      <c r="I5" s="19" t="s">
        <v>48</v>
      </c>
      <c r="J5" s="20" t="s">
        <v>49</v>
      </c>
      <c r="K5" s="21" t="s">
        <v>50</v>
      </c>
      <c r="L5" s="22" t="s">
        <v>51</v>
      </c>
      <c r="M5" s="24" t="s">
        <v>52</v>
      </c>
      <c r="N5" s="25" t="s">
        <v>48</v>
      </c>
      <c r="O5" s="20" t="s">
        <v>49</v>
      </c>
      <c r="P5" s="21" t="s">
        <v>50</v>
      </c>
      <c r="Q5" s="22" t="s">
        <v>51</v>
      </c>
      <c r="R5" s="23" t="s">
        <v>52</v>
      </c>
      <c r="S5" s="19" t="s">
        <v>48</v>
      </c>
      <c r="T5" s="20" t="s">
        <v>49</v>
      </c>
      <c r="U5" s="21" t="s">
        <v>50</v>
      </c>
      <c r="V5" s="22" t="s">
        <v>51</v>
      </c>
      <c r="W5" s="23" t="s">
        <v>52</v>
      </c>
      <c r="X5" s="19" t="s">
        <v>48</v>
      </c>
      <c r="Y5" s="20" t="s">
        <v>49</v>
      </c>
      <c r="Z5" s="21" t="s">
        <v>50</v>
      </c>
      <c r="AA5" s="22" t="s">
        <v>51</v>
      </c>
      <c r="AB5" s="23" t="s">
        <v>52</v>
      </c>
      <c r="AC5" s="19" t="s">
        <v>48</v>
      </c>
      <c r="AD5" s="20" t="s">
        <v>49</v>
      </c>
      <c r="AE5" s="21" t="s">
        <v>50</v>
      </c>
      <c r="AF5" s="22" t="s">
        <v>51</v>
      </c>
      <c r="AG5" s="23" t="s">
        <v>52</v>
      </c>
      <c r="AH5" s="19" t="s">
        <v>48</v>
      </c>
      <c r="AI5" s="10" t="n">
        <f aca="false">COUNTIF(D5:AH5,"早A")</f>
        <v>7</v>
      </c>
    </row>
    <row r="6" customFormat="false" ht="17.15" hidden="false" customHeight="false" outlineLevel="0" collapsed="false">
      <c r="A6" s="9" t="s">
        <v>57</v>
      </c>
      <c r="B6" s="0" t="s">
        <v>23</v>
      </c>
      <c r="C6" s="9" t="s">
        <v>56</v>
      </c>
      <c r="D6" s="20" t="s">
        <v>49</v>
      </c>
      <c r="E6" s="21" t="s">
        <v>50</v>
      </c>
      <c r="F6" s="22" t="s">
        <v>51</v>
      </c>
      <c r="G6" s="23" t="s">
        <v>52</v>
      </c>
      <c r="H6" s="19" t="s">
        <v>48</v>
      </c>
      <c r="I6" s="20" t="s">
        <v>49</v>
      </c>
      <c r="J6" s="21" t="s">
        <v>50</v>
      </c>
      <c r="K6" s="22" t="s">
        <v>51</v>
      </c>
      <c r="L6" s="23" t="s">
        <v>52</v>
      </c>
      <c r="M6" s="19" t="s">
        <v>48</v>
      </c>
      <c r="N6" s="20" t="s">
        <v>49</v>
      </c>
      <c r="O6" s="21" t="s">
        <v>50</v>
      </c>
      <c r="P6" s="22" t="s">
        <v>51</v>
      </c>
      <c r="Q6" s="23" t="s">
        <v>52</v>
      </c>
      <c r="R6" s="19" t="s">
        <v>48</v>
      </c>
      <c r="S6" s="20" t="s">
        <v>49</v>
      </c>
      <c r="T6" s="21" t="s">
        <v>50</v>
      </c>
      <c r="U6" s="22" t="s">
        <v>51</v>
      </c>
      <c r="V6" s="23" t="s">
        <v>52</v>
      </c>
      <c r="W6" s="19" t="s">
        <v>48</v>
      </c>
      <c r="X6" s="20" t="s">
        <v>49</v>
      </c>
      <c r="Y6" s="21" t="s">
        <v>50</v>
      </c>
      <c r="Z6" s="22" t="s">
        <v>51</v>
      </c>
      <c r="AA6" s="23" t="s">
        <v>52</v>
      </c>
      <c r="AB6" s="19" t="s">
        <v>48</v>
      </c>
      <c r="AC6" s="20" t="s">
        <v>49</v>
      </c>
      <c r="AD6" s="21" t="s">
        <v>50</v>
      </c>
      <c r="AE6" s="22" t="s">
        <v>51</v>
      </c>
      <c r="AF6" s="23" t="s">
        <v>52</v>
      </c>
      <c r="AG6" s="19" t="s">
        <v>48</v>
      </c>
      <c r="AH6" s="20" t="s">
        <v>49</v>
      </c>
      <c r="AI6" s="10" t="n">
        <f aca="false">COUNTIF(D6:AH6,"早A")</f>
        <v>6</v>
      </c>
    </row>
    <row r="7" customFormat="false" ht="17.15" hidden="false" customHeight="false" outlineLevel="0" collapsed="false">
      <c r="A7" s="9" t="s">
        <v>58</v>
      </c>
      <c r="B7" s="0" t="s">
        <v>24</v>
      </c>
      <c r="C7" s="9" t="s">
        <v>56</v>
      </c>
      <c r="D7" s="21" t="s">
        <v>50</v>
      </c>
      <c r="E7" s="22" t="s">
        <v>51</v>
      </c>
      <c r="F7" s="23" t="s">
        <v>52</v>
      </c>
      <c r="G7" s="19" t="s">
        <v>48</v>
      </c>
      <c r="H7" s="20" t="s">
        <v>49</v>
      </c>
      <c r="I7" s="21" t="s">
        <v>50</v>
      </c>
      <c r="J7" s="22" t="s">
        <v>51</v>
      </c>
      <c r="K7" s="23" t="s">
        <v>52</v>
      </c>
      <c r="L7" s="19" t="s">
        <v>48</v>
      </c>
      <c r="M7" s="20" t="s">
        <v>49</v>
      </c>
      <c r="N7" s="21" t="s">
        <v>50</v>
      </c>
      <c r="O7" s="22" t="s">
        <v>51</v>
      </c>
      <c r="P7" s="23" t="s">
        <v>52</v>
      </c>
      <c r="Q7" s="19" t="s">
        <v>48</v>
      </c>
      <c r="R7" s="20" t="s">
        <v>49</v>
      </c>
      <c r="S7" s="21" t="s">
        <v>50</v>
      </c>
      <c r="T7" s="22" t="s">
        <v>51</v>
      </c>
      <c r="U7" s="23" t="s">
        <v>52</v>
      </c>
      <c r="V7" s="19" t="s">
        <v>48</v>
      </c>
      <c r="W7" s="20" t="s">
        <v>49</v>
      </c>
      <c r="X7" s="21" t="s">
        <v>50</v>
      </c>
      <c r="Y7" s="22" t="s">
        <v>51</v>
      </c>
      <c r="Z7" s="23" t="s">
        <v>52</v>
      </c>
      <c r="AA7" s="19" t="s">
        <v>48</v>
      </c>
      <c r="AB7" s="20" t="s">
        <v>49</v>
      </c>
      <c r="AC7" s="21" t="s">
        <v>50</v>
      </c>
      <c r="AD7" s="22" t="s">
        <v>51</v>
      </c>
      <c r="AE7" s="23" t="s">
        <v>52</v>
      </c>
      <c r="AF7" s="19" t="s">
        <v>48</v>
      </c>
      <c r="AG7" s="20" t="s">
        <v>49</v>
      </c>
      <c r="AH7" s="21" t="s">
        <v>50</v>
      </c>
      <c r="AI7" s="10" t="n">
        <f aca="false">COUNTIF(D7:AH7,"早A")</f>
        <v>6</v>
      </c>
    </row>
    <row r="8" customFormat="false" ht="17.15" hidden="false" customHeight="false" outlineLevel="0" collapsed="false">
      <c r="A8" s="9" t="s">
        <v>59</v>
      </c>
      <c r="B8" s="0" t="s">
        <v>25</v>
      </c>
      <c r="C8" s="9" t="s">
        <v>56</v>
      </c>
      <c r="D8" s="22" t="s">
        <v>51</v>
      </c>
      <c r="E8" s="23" t="s">
        <v>52</v>
      </c>
      <c r="F8" s="19" t="s">
        <v>48</v>
      </c>
      <c r="G8" s="20" t="s">
        <v>49</v>
      </c>
      <c r="H8" s="21" t="s">
        <v>50</v>
      </c>
      <c r="I8" s="22" t="s">
        <v>51</v>
      </c>
      <c r="J8" s="23" t="s">
        <v>52</v>
      </c>
      <c r="K8" s="19" t="s">
        <v>48</v>
      </c>
      <c r="L8" s="20" t="s">
        <v>49</v>
      </c>
      <c r="M8" s="21" t="s">
        <v>50</v>
      </c>
      <c r="N8" s="22" t="s">
        <v>51</v>
      </c>
      <c r="O8" s="23" t="s">
        <v>52</v>
      </c>
      <c r="P8" s="19" t="s">
        <v>48</v>
      </c>
      <c r="Q8" s="20" t="s">
        <v>49</v>
      </c>
      <c r="R8" s="21" t="s">
        <v>50</v>
      </c>
      <c r="S8" s="22" t="s">
        <v>51</v>
      </c>
      <c r="T8" s="23" t="s">
        <v>52</v>
      </c>
      <c r="U8" s="19" t="s">
        <v>48</v>
      </c>
      <c r="V8" s="20" t="s">
        <v>49</v>
      </c>
      <c r="W8" s="21" t="s">
        <v>50</v>
      </c>
      <c r="X8" s="22" t="s">
        <v>51</v>
      </c>
      <c r="Y8" s="23" t="s">
        <v>52</v>
      </c>
      <c r="Z8" s="19" t="s">
        <v>48</v>
      </c>
      <c r="AA8" s="20" t="s">
        <v>49</v>
      </c>
      <c r="AB8" s="21" t="s">
        <v>50</v>
      </c>
      <c r="AC8" s="22" t="s">
        <v>51</v>
      </c>
      <c r="AD8" s="23" t="s">
        <v>52</v>
      </c>
      <c r="AE8" s="19" t="s">
        <v>48</v>
      </c>
      <c r="AF8" s="20" t="s">
        <v>49</v>
      </c>
      <c r="AG8" s="21" t="s">
        <v>50</v>
      </c>
      <c r="AH8" s="22" t="s">
        <v>51</v>
      </c>
      <c r="AI8" s="10" t="n">
        <f aca="false">COUNTIF(D8:AH8,"早A")</f>
        <v>6</v>
      </c>
    </row>
    <row r="9" customFormat="false" ht="17.15" hidden="false" customHeight="false" outlineLevel="0" collapsed="false">
      <c r="A9" s="9" t="s">
        <v>60</v>
      </c>
      <c r="B9" s="0" t="s">
        <v>22</v>
      </c>
      <c r="C9" s="9" t="s">
        <v>61</v>
      </c>
      <c r="D9" s="19" t="s">
        <v>48</v>
      </c>
      <c r="E9" s="20" t="s">
        <v>49</v>
      </c>
      <c r="F9" s="21" t="s">
        <v>50</v>
      </c>
      <c r="G9" s="22" t="s">
        <v>51</v>
      </c>
      <c r="H9" s="23" t="s">
        <v>52</v>
      </c>
      <c r="I9" s="19" t="s">
        <v>48</v>
      </c>
      <c r="J9" s="20" t="s">
        <v>49</v>
      </c>
      <c r="K9" s="21" t="s">
        <v>50</v>
      </c>
      <c r="L9" s="22" t="s">
        <v>51</v>
      </c>
      <c r="M9" s="23" t="s">
        <v>52</v>
      </c>
      <c r="N9" s="19" t="s">
        <v>48</v>
      </c>
      <c r="O9" s="20" t="s">
        <v>49</v>
      </c>
      <c r="P9" s="21" t="s">
        <v>50</v>
      </c>
      <c r="Q9" s="22" t="s">
        <v>51</v>
      </c>
      <c r="R9" s="23" t="s">
        <v>52</v>
      </c>
      <c r="S9" s="19" t="s">
        <v>48</v>
      </c>
      <c r="T9" s="20" t="s">
        <v>49</v>
      </c>
      <c r="U9" s="21" t="s">
        <v>50</v>
      </c>
      <c r="V9" s="22" t="s">
        <v>51</v>
      </c>
      <c r="W9" s="23" t="s">
        <v>52</v>
      </c>
      <c r="X9" s="19" t="s">
        <v>48</v>
      </c>
      <c r="Y9" s="20" t="s">
        <v>49</v>
      </c>
      <c r="Z9" s="21" t="s">
        <v>50</v>
      </c>
      <c r="AA9" s="22" t="s">
        <v>51</v>
      </c>
      <c r="AB9" s="23" t="s">
        <v>52</v>
      </c>
      <c r="AC9" s="19" t="s">
        <v>48</v>
      </c>
      <c r="AD9" s="20" t="s">
        <v>49</v>
      </c>
      <c r="AE9" s="21" t="s">
        <v>50</v>
      </c>
      <c r="AF9" s="22" t="s">
        <v>51</v>
      </c>
      <c r="AG9" s="23" t="s">
        <v>52</v>
      </c>
      <c r="AH9" s="19" t="s">
        <v>48</v>
      </c>
      <c r="AI9" s="10" t="n">
        <f aca="false">COUNTIF(D9:AH9,"早A")</f>
        <v>7</v>
      </c>
    </row>
    <row r="10" customFormat="false" ht="17.15" hidden="false" customHeight="false" outlineLevel="0" collapsed="false">
      <c r="A10" s="9" t="s">
        <v>62</v>
      </c>
      <c r="B10" s="0" t="s">
        <v>24</v>
      </c>
      <c r="C10" s="9" t="s">
        <v>61</v>
      </c>
      <c r="D10" s="21" t="s">
        <v>50</v>
      </c>
      <c r="E10" s="22" t="s">
        <v>51</v>
      </c>
      <c r="F10" s="23" t="s">
        <v>52</v>
      </c>
      <c r="G10" s="19" t="s">
        <v>48</v>
      </c>
      <c r="H10" s="20" t="s">
        <v>49</v>
      </c>
      <c r="I10" s="21" t="s">
        <v>50</v>
      </c>
      <c r="J10" s="22" t="s">
        <v>51</v>
      </c>
      <c r="K10" s="23" t="s">
        <v>52</v>
      </c>
      <c r="L10" s="19" t="s">
        <v>48</v>
      </c>
      <c r="M10" s="20" t="s">
        <v>49</v>
      </c>
      <c r="N10" s="21" t="s">
        <v>50</v>
      </c>
      <c r="O10" s="22" t="s">
        <v>51</v>
      </c>
      <c r="P10" s="23" t="s">
        <v>52</v>
      </c>
      <c r="Q10" s="19" t="s">
        <v>48</v>
      </c>
      <c r="R10" s="26" t="s">
        <v>49</v>
      </c>
      <c r="S10" s="27" t="s">
        <v>50</v>
      </c>
      <c r="T10" s="28" t="s">
        <v>51</v>
      </c>
      <c r="U10" s="23" t="s">
        <v>52</v>
      </c>
      <c r="V10" s="19" t="s">
        <v>48</v>
      </c>
      <c r="W10" s="20" t="s">
        <v>49</v>
      </c>
      <c r="X10" s="21" t="s">
        <v>50</v>
      </c>
      <c r="Y10" s="22" t="s">
        <v>51</v>
      </c>
      <c r="Z10" s="23" t="s">
        <v>52</v>
      </c>
      <c r="AA10" s="19" t="s">
        <v>48</v>
      </c>
      <c r="AB10" s="20" t="s">
        <v>49</v>
      </c>
      <c r="AC10" s="21" t="s">
        <v>50</v>
      </c>
      <c r="AD10" s="22" t="s">
        <v>51</v>
      </c>
      <c r="AE10" s="23" t="s">
        <v>52</v>
      </c>
      <c r="AF10" s="19" t="s">
        <v>48</v>
      </c>
      <c r="AG10" s="20" t="s">
        <v>49</v>
      </c>
      <c r="AH10" s="21" t="s">
        <v>50</v>
      </c>
      <c r="AI10" s="10" t="n">
        <f aca="false">COUNTIF(D10:AH10,"早A")</f>
        <v>6</v>
      </c>
    </row>
    <row r="11" customFormat="false" ht="17.15" hidden="false" customHeight="false" outlineLevel="0" collapsed="false">
      <c r="A11" s="9" t="s">
        <v>63</v>
      </c>
      <c r="B11" s="0" t="s">
        <v>25</v>
      </c>
      <c r="C11" s="9" t="s">
        <v>64</v>
      </c>
      <c r="D11" s="22" t="s">
        <v>51</v>
      </c>
      <c r="E11" s="23" t="s">
        <v>52</v>
      </c>
      <c r="F11" s="19" t="s">
        <v>48</v>
      </c>
      <c r="G11" s="20" t="s">
        <v>49</v>
      </c>
      <c r="H11" s="21" t="s">
        <v>50</v>
      </c>
      <c r="I11" s="22" t="s">
        <v>51</v>
      </c>
      <c r="J11" s="23" t="s">
        <v>52</v>
      </c>
      <c r="K11" s="19" t="s">
        <v>48</v>
      </c>
      <c r="L11" s="20" t="s">
        <v>49</v>
      </c>
      <c r="M11" s="21" t="s">
        <v>50</v>
      </c>
      <c r="N11" s="22" t="s">
        <v>51</v>
      </c>
      <c r="O11" s="23" t="s">
        <v>52</v>
      </c>
      <c r="P11" s="19" t="s">
        <v>48</v>
      </c>
      <c r="Q11" s="20" t="s">
        <v>49</v>
      </c>
      <c r="R11" s="21" t="s">
        <v>50</v>
      </c>
      <c r="S11" s="22" t="s">
        <v>51</v>
      </c>
      <c r="T11" s="23" t="s">
        <v>52</v>
      </c>
      <c r="U11" s="19" t="s">
        <v>48</v>
      </c>
      <c r="V11" s="20" t="s">
        <v>49</v>
      </c>
      <c r="W11" s="21" t="s">
        <v>50</v>
      </c>
      <c r="X11" s="22" t="s">
        <v>51</v>
      </c>
      <c r="Y11" s="23" t="s">
        <v>52</v>
      </c>
      <c r="Z11" s="19" t="s">
        <v>48</v>
      </c>
      <c r="AA11" s="20" t="s">
        <v>49</v>
      </c>
      <c r="AB11" s="21" t="s">
        <v>50</v>
      </c>
      <c r="AC11" s="22" t="s">
        <v>51</v>
      </c>
      <c r="AD11" s="23" t="s">
        <v>52</v>
      </c>
      <c r="AE11" s="19" t="s">
        <v>48</v>
      </c>
      <c r="AF11" s="20" t="s">
        <v>49</v>
      </c>
      <c r="AG11" s="21" t="s">
        <v>50</v>
      </c>
      <c r="AH11" s="22" t="s">
        <v>51</v>
      </c>
      <c r="AI11" s="10" t="n">
        <f aca="false">COUNTIF(D11:AH11,"早A")</f>
        <v>6</v>
      </c>
    </row>
    <row r="12" customFormat="false" ht="17.15" hidden="false" customHeight="false" outlineLevel="0" collapsed="false">
      <c r="A12" s="9" t="s">
        <v>65</v>
      </c>
      <c r="B12" s="0" t="s">
        <v>26</v>
      </c>
      <c r="C12" s="9" t="s">
        <v>64</v>
      </c>
      <c r="D12" s="23" t="s">
        <v>52</v>
      </c>
      <c r="E12" s="19" t="s">
        <v>48</v>
      </c>
      <c r="F12" s="20" t="s">
        <v>49</v>
      </c>
      <c r="G12" s="21" t="s">
        <v>50</v>
      </c>
      <c r="H12" s="22" t="s">
        <v>51</v>
      </c>
      <c r="I12" s="23" t="s">
        <v>52</v>
      </c>
      <c r="J12" s="19" t="s">
        <v>48</v>
      </c>
      <c r="K12" s="20" t="s">
        <v>49</v>
      </c>
      <c r="L12" s="21" t="s">
        <v>50</v>
      </c>
      <c r="M12" s="22" t="s">
        <v>51</v>
      </c>
      <c r="N12" s="23" t="s">
        <v>52</v>
      </c>
      <c r="O12" s="19" t="s">
        <v>48</v>
      </c>
      <c r="P12" s="20" t="s">
        <v>49</v>
      </c>
      <c r="Q12" s="21" t="s">
        <v>50</v>
      </c>
      <c r="R12" s="22" t="s">
        <v>51</v>
      </c>
      <c r="S12" s="23" t="s">
        <v>52</v>
      </c>
      <c r="T12" s="19" t="s">
        <v>48</v>
      </c>
      <c r="U12" s="20" t="s">
        <v>49</v>
      </c>
      <c r="V12" s="21" t="s">
        <v>50</v>
      </c>
      <c r="W12" s="22" t="s">
        <v>51</v>
      </c>
      <c r="X12" s="23" t="s">
        <v>52</v>
      </c>
      <c r="Y12" s="19" t="s">
        <v>48</v>
      </c>
      <c r="Z12" s="20" t="s">
        <v>49</v>
      </c>
      <c r="AA12" s="21" t="s">
        <v>50</v>
      </c>
      <c r="AB12" s="22" t="s">
        <v>51</v>
      </c>
      <c r="AC12" s="23" t="s">
        <v>52</v>
      </c>
      <c r="AD12" s="19" t="s">
        <v>48</v>
      </c>
      <c r="AE12" s="20" t="s">
        <v>49</v>
      </c>
      <c r="AF12" s="21" t="s">
        <v>50</v>
      </c>
      <c r="AG12" s="22" t="s">
        <v>51</v>
      </c>
      <c r="AH12" s="23" t="s">
        <v>52</v>
      </c>
      <c r="AI12" s="10" t="n">
        <f aca="false">COUNTIF(D12:AH12,"早A")</f>
        <v>6</v>
      </c>
    </row>
    <row r="13" customFormat="false" ht="17.15" hidden="false" customHeight="false" outlineLevel="0" collapsed="false">
      <c r="A13" s="9" t="s">
        <v>66</v>
      </c>
      <c r="B13" s="0" t="s">
        <v>23</v>
      </c>
      <c r="C13" s="9" t="s">
        <v>67</v>
      </c>
      <c r="D13" s="20" t="s">
        <v>49</v>
      </c>
      <c r="E13" s="21" t="s">
        <v>50</v>
      </c>
      <c r="F13" s="22" t="s">
        <v>51</v>
      </c>
      <c r="G13" s="23" t="s">
        <v>52</v>
      </c>
      <c r="H13" s="19" t="s">
        <v>48</v>
      </c>
      <c r="I13" s="20" t="s">
        <v>49</v>
      </c>
      <c r="J13" s="21" t="s">
        <v>50</v>
      </c>
      <c r="K13" s="22" t="s">
        <v>51</v>
      </c>
      <c r="L13" s="23" t="s">
        <v>52</v>
      </c>
      <c r="M13" s="19" t="s">
        <v>48</v>
      </c>
      <c r="N13" s="20" t="s">
        <v>49</v>
      </c>
      <c r="O13" s="21" t="s">
        <v>50</v>
      </c>
      <c r="P13" s="22" t="s">
        <v>51</v>
      </c>
      <c r="Q13" s="23" t="s">
        <v>52</v>
      </c>
      <c r="R13" s="19" t="s">
        <v>48</v>
      </c>
      <c r="S13" s="20" t="s">
        <v>49</v>
      </c>
      <c r="T13" s="21" t="s">
        <v>50</v>
      </c>
      <c r="U13" s="22" t="s">
        <v>51</v>
      </c>
      <c r="V13" s="23" t="s">
        <v>52</v>
      </c>
      <c r="W13" s="25" t="s">
        <v>48</v>
      </c>
      <c r="X13" s="20" t="s">
        <v>49</v>
      </c>
      <c r="Y13" s="21" t="s">
        <v>50</v>
      </c>
      <c r="Z13" s="22" t="s">
        <v>51</v>
      </c>
      <c r="AA13" s="23" t="s">
        <v>52</v>
      </c>
      <c r="AB13" s="19" t="s">
        <v>48</v>
      </c>
      <c r="AC13" s="20" t="s">
        <v>49</v>
      </c>
      <c r="AD13" s="21" t="s">
        <v>50</v>
      </c>
      <c r="AE13" s="22" t="s">
        <v>51</v>
      </c>
      <c r="AF13" s="23" t="s">
        <v>52</v>
      </c>
      <c r="AG13" s="19" t="s">
        <v>48</v>
      </c>
      <c r="AH13" s="20" t="s">
        <v>49</v>
      </c>
      <c r="AI13" s="10" t="n">
        <f aca="false">COUNTIF(D13:AH13,"早A")</f>
        <v>6</v>
      </c>
    </row>
    <row r="14" customFormat="false" ht="17.15" hidden="false" customHeight="false" outlineLevel="0" collapsed="false">
      <c r="A14" s="9" t="s">
        <v>68</v>
      </c>
      <c r="B14" s="0" t="s">
        <v>25</v>
      </c>
      <c r="C14" s="9" t="s">
        <v>67</v>
      </c>
      <c r="D14" s="22" t="s">
        <v>51</v>
      </c>
      <c r="E14" s="23" t="s">
        <v>52</v>
      </c>
      <c r="F14" s="19" t="s">
        <v>48</v>
      </c>
      <c r="G14" s="20" t="s">
        <v>49</v>
      </c>
      <c r="H14" s="21" t="s">
        <v>50</v>
      </c>
      <c r="I14" s="22" t="s">
        <v>51</v>
      </c>
      <c r="J14" s="23" t="s">
        <v>52</v>
      </c>
      <c r="K14" s="19" t="s">
        <v>48</v>
      </c>
      <c r="L14" s="20" t="s">
        <v>49</v>
      </c>
      <c r="M14" s="21" t="s">
        <v>50</v>
      </c>
      <c r="N14" s="22" t="s">
        <v>51</v>
      </c>
      <c r="O14" s="23" t="s">
        <v>52</v>
      </c>
      <c r="P14" s="19" t="s">
        <v>48</v>
      </c>
      <c r="Q14" s="20" t="s">
        <v>49</v>
      </c>
      <c r="R14" s="21" t="s">
        <v>50</v>
      </c>
      <c r="S14" s="22" t="s">
        <v>51</v>
      </c>
      <c r="T14" s="23" t="s">
        <v>52</v>
      </c>
      <c r="U14" s="19" t="s">
        <v>48</v>
      </c>
      <c r="V14" s="20" t="s">
        <v>49</v>
      </c>
      <c r="W14" s="21" t="s">
        <v>50</v>
      </c>
      <c r="X14" s="22" t="s">
        <v>51</v>
      </c>
      <c r="Y14" s="23" t="s">
        <v>52</v>
      </c>
      <c r="Z14" s="19" t="s">
        <v>48</v>
      </c>
      <c r="AA14" s="20" t="s">
        <v>49</v>
      </c>
      <c r="AB14" s="21" t="s">
        <v>50</v>
      </c>
      <c r="AC14" s="22" t="s">
        <v>51</v>
      </c>
      <c r="AD14" s="23" t="s">
        <v>52</v>
      </c>
      <c r="AE14" s="19" t="s">
        <v>48</v>
      </c>
      <c r="AF14" s="20" t="s">
        <v>49</v>
      </c>
      <c r="AG14" s="21" t="s">
        <v>50</v>
      </c>
      <c r="AH14" s="22" t="s">
        <v>51</v>
      </c>
      <c r="AI14" s="10" t="n">
        <f aca="false">COUNTIF(D14:AH14,"早A")</f>
        <v>6</v>
      </c>
    </row>
    <row r="15" customFormat="false" ht="17.15" hidden="false" customHeight="false" outlineLevel="0" collapsed="false">
      <c r="A15" s="9" t="s">
        <v>69</v>
      </c>
      <c r="B15" s="0" t="s">
        <v>26</v>
      </c>
      <c r="C15" s="9" t="s">
        <v>56</v>
      </c>
      <c r="D15" s="23" t="s">
        <v>52</v>
      </c>
      <c r="E15" s="19" t="s">
        <v>48</v>
      </c>
      <c r="F15" s="20" t="s">
        <v>49</v>
      </c>
      <c r="G15" s="21" t="s">
        <v>50</v>
      </c>
      <c r="H15" s="22" t="s">
        <v>51</v>
      </c>
      <c r="I15" s="23" t="s">
        <v>52</v>
      </c>
      <c r="J15" s="19" t="s">
        <v>48</v>
      </c>
      <c r="K15" s="20" t="s">
        <v>49</v>
      </c>
      <c r="L15" s="21" t="s">
        <v>50</v>
      </c>
      <c r="M15" s="22" t="s">
        <v>51</v>
      </c>
      <c r="N15" s="23" t="s">
        <v>52</v>
      </c>
      <c r="O15" s="19" t="s">
        <v>48</v>
      </c>
      <c r="P15" s="20" t="s">
        <v>49</v>
      </c>
      <c r="Q15" s="21" t="s">
        <v>50</v>
      </c>
      <c r="R15" s="22" t="s">
        <v>51</v>
      </c>
      <c r="S15" s="23" t="s">
        <v>52</v>
      </c>
      <c r="T15" s="19" t="s">
        <v>48</v>
      </c>
      <c r="U15" s="20" t="s">
        <v>49</v>
      </c>
      <c r="V15" s="21" t="s">
        <v>50</v>
      </c>
      <c r="W15" s="22" t="s">
        <v>51</v>
      </c>
      <c r="X15" s="23" t="s">
        <v>52</v>
      </c>
      <c r="Y15" s="19" t="s">
        <v>48</v>
      </c>
      <c r="Z15" s="20" t="s">
        <v>49</v>
      </c>
      <c r="AA15" s="21" t="s">
        <v>50</v>
      </c>
      <c r="AB15" s="22" t="s">
        <v>51</v>
      </c>
      <c r="AC15" s="23" t="s">
        <v>52</v>
      </c>
      <c r="AD15" s="19" t="s">
        <v>48</v>
      </c>
      <c r="AE15" s="20" t="s">
        <v>49</v>
      </c>
      <c r="AF15" s="21" t="s">
        <v>50</v>
      </c>
      <c r="AG15" s="22" t="s">
        <v>51</v>
      </c>
      <c r="AH15" s="23" t="s">
        <v>52</v>
      </c>
      <c r="AI15" s="10" t="n">
        <f aca="false">COUNTIF(D15:AH15,"早A")</f>
        <v>6</v>
      </c>
    </row>
    <row r="16" customFormat="false" ht="17.15" hidden="false" customHeight="false" outlineLevel="0" collapsed="false">
      <c r="A16" s="9" t="s">
        <v>70</v>
      </c>
      <c r="B16" s="0" t="s">
        <v>26</v>
      </c>
      <c r="C16" s="9" t="s">
        <v>61</v>
      </c>
      <c r="D16" s="23" t="s">
        <v>52</v>
      </c>
      <c r="E16" s="19" t="s">
        <v>48</v>
      </c>
      <c r="F16" s="20" t="s">
        <v>49</v>
      </c>
      <c r="G16" s="21" t="s">
        <v>50</v>
      </c>
      <c r="H16" s="22" t="s">
        <v>51</v>
      </c>
      <c r="I16" s="23" t="s">
        <v>52</v>
      </c>
      <c r="J16" s="19" t="s">
        <v>48</v>
      </c>
      <c r="K16" s="20" t="s">
        <v>49</v>
      </c>
      <c r="L16" s="21" t="s">
        <v>50</v>
      </c>
      <c r="M16" s="22" t="s">
        <v>51</v>
      </c>
      <c r="N16" s="23" t="s">
        <v>52</v>
      </c>
      <c r="O16" s="19" t="s">
        <v>48</v>
      </c>
      <c r="P16" s="20" t="s">
        <v>49</v>
      </c>
      <c r="Q16" s="21" t="s">
        <v>50</v>
      </c>
      <c r="R16" s="22" t="s">
        <v>51</v>
      </c>
      <c r="S16" s="23" t="s">
        <v>52</v>
      </c>
      <c r="T16" s="19" t="s">
        <v>48</v>
      </c>
      <c r="U16" s="20" t="s">
        <v>49</v>
      </c>
      <c r="V16" s="21" t="s">
        <v>50</v>
      </c>
      <c r="W16" s="22" t="s">
        <v>51</v>
      </c>
      <c r="X16" s="23" t="s">
        <v>52</v>
      </c>
      <c r="Y16" s="19" t="s">
        <v>48</v>
      </c>
      <c r="Z16" s="20" t="s">
        <v>49</v>
      </c>
      <c r="AA16" s="21" t="s">
        <v>50</v>
      </c>
      <c r="AB16" s="22" t="s">
        <v>51</v>
      </c>
      <c r="AC16" s="23" t="s">
        <v>52</v>
      </c>
      <c r="AD16" s="19" t="s">
        <v>48</v>
      </c>
      <c r="AE16" s="20" t="s">
        <v>49</v>
      </c>
      <c r="AF16" s="21" t="s">
        <v>50</v>
      </c>
      <c r="AG16" s="22" t="s">
        <v>51</v>
      </c>
      <c r="AH16" s="23" t="s">
        <v>52</v>
      </c>
      <c r="AI16" s="10" t="n">
        <f aca="false">COUNTIF(D16:AH16,"早A")</f>
        <v>6</v>
      </c>
    </row>
    <row r="18" customFormat="false" ht="17.15" hidden="false" customHeight="false" outlineLevel="0" collapsed="false">
      <c r="A18" s="2" t="s">
        <v>71</v>
      </c>
    </row>
    <row r="19" customFormat="false" ht="17.15" hidden="false" customHeight="false" outlineLevel="0" collapsed="false">
      <c r="A19" s="29" t="s">
        <v>72</v>
      </c>
      <c r="B19" s="5" t="s">
        <v>73</v>
      </c>
    </row>
    <row r="20" customFormat="false" ht="17.15" hidden="false" customHeight="false" outlineLevel="0" collapsed="false">
      <c r="A20" s="30" t="s">
        <v>74</v>
      </c>
      <c r="B20" s="5" t="s">
        <v>75</v>
      </c>
    </row>
    <row r="21" customFormat="false" ht="15" hidden="false" customHeight="false" outlineLevel="0" collapsed="false">
      <c r="A21" s="31" t="s">
        <v>50</v>
      </c>
      <c r="B21" s="5" t="s">
        <v>76</v>
      </c>
    </row>
    <row r="22" customFormat="false" ht="15" hidden="false" customHeight="false" outlineLevel="0" collapsed="false">
      <c r="A22" s="32" t="s">
        <v>51</v>
      </c>
      <c r="B22" s="5" t="s">
        <v>77</v>
      </c>
    </row>
    <row r="23" customFormat="false" ht="15" hidden="false" customHeight="false" outlineLevel="0" collapsed="false">
      <c r="A23" s="33" t="s">
        <v>52</v>
      </c>
      <c r="B23" s="5" t="s">
        <v>78</v>
      </c>
    </row>
    <row r="24" customFormat="false" ht="15" hidden="false" customHeight="false" outlineLevel="0" collapsed="false">
      <c r="A24" s="2" t="s">
        <v>79</v>
      </c>
      <c r="B24" s="5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4" style="0" width="16"/>
    <col collapsed="false" customWidth="true" hidden="false" outlineLevel="0" max="6" min="6" style="0" width="30"/>
    <col collapsed="false" customWidth="true" hidden="false" outlineLevel="0" max="7" min="7" style="0" width="26"/>
  </cols>
  <sheetData>
    <row r="1" customFormat="false" ht="17.15" hidden="false" customHeight="false" outlineLevel="0" collapsed="false">
      <c r="A1" s="2" t="s">
        <v>81</v>
      </c>
      <c r="B1" s="34" t="n">
        <f aca="false">シフト健全度!C3</f>
        <v>71.5833333333333</v>
      </c>
      <c r="C1" s="0" t="str">
        <f aca="false">シフト健全度!C4</f>
        <v>要注意:イベント重複時は厳しい可能性</v>
      </c>
    </row>
    <row r="3" customFormat="false" ht="17.15" hidden="false" customHeight="false" outlineLevel="0" collapsed="false">
      <c r="A3" s="4" t="s">
        <v>44</v>
      </c>
      <c r="B3" s="4" t="s">
        <v>19</v>
      </c>
      <c r="C3" s="4" t="s">
        <v>82</v>
      </c>
      <c r="D3" s="4" t="s">
        <v>83</v>
      </c>
      <c r="E3" s="4" t="s">
        <v>84</v>
      </c>
      <c r="F3" s="4" t="s">
        <v>85</v>
      </c>
      <c r="G3" s="4" t="s">
        <v>2</v>
      </c>
    </row>
    <row r="4" customFormat="false" ht="17.15" hidden="false" customHeight="false" outlineLevel="0" collapsed="false">
      <c r="A4" s="9" t="s">
        <v>55</v>
      </c>
      <c r="B4" s="0" t="str">
        <f aca="false">VLOOKUP(A4,メンバーデータ!$A:$B,2,FALSE())</f>
        <v>A</v>
      </c>
      <c r="C4" s="35" t="n">
        <v>46244</v>
      </c>
      <c r="D4" s="10" t="s">
        <v>86</v>
      </c>
      <c r="E4" s="0" t="str">
        <f aca="false">INDEX('シフト表(2026年8月)'!$D$2:$AH$16,MATCH($A4,'シフト表(2026年8月)'!$A$2:$A$16,0),MATCH($C4,'シフト表(2026年8月)'!$D$1:$AH$1,0))</f>
        <v>休</v>
      </c>
      <c r="F4" s="10" t="n">
        <f aca="false">SUMIFS(メンバーデータ!$O:$O,メンバーデータ!$B:$B,B4)-VLOOKUP(A4,メンバーデータ!$A:$O,15,FALSE())</f>
        <v>2</v>
      </c>
      <c r="G4" s="0" t="str">
        <f aca="false">IF(F4&gt;=2,"バックアップ不要",IF(F4=1,"要注意(イベント時はバックアップ検討)","バックアップ出動が必要"))</f>
        <v>バックアップ不要</v>
      </c>
    </row>
    <row r="5" customFormat="false" ht="17.15" hidden="false" customHeight="false" outlineLevel="0" collapsed="false">
      <c r="A5" s="9" t="s">
        <v>55</v>
      </c>
      <c r="B5" s="0" t="str">
        <f aca="false">VLOOKUP(A5,メンバーデータ!$A:$B,2,FALSE())</f>
        <v>A</v>
      </c>
      <c r="C5" s="36" t="n">
        <v>46245</v>
      </c>
      <c r="D5" s="10" t="s">
        <v>86</v>
      </c>
      <c r="E5" s="0" t="str">
        <f aca="false">INDEX('シフト表(2026年8月)'!$D$2:$AH$16,MATCH($A5,'シフト表(2026年8月)'!$A$2:$A$16,0),MATCH($C5,'シフト表(2026年8月)'!$D$1:$AH$1,0))</f>
        <v>早A</v>
      </c>
      <c r="F5" s="10" t="n">
        <f aca="false">SUMIFS(メンバーデータ!$O:$O,メンバーデータ!$B:$B,B5)-VLOOKUP(A5,メンバーデータ!$A:$O,15,FALSE())</f>
        <v>2</v>
      </c>
      <c r="G5" s="0" t="str">
        <f aca="false">IF(F5&gt;=2,"バックアップ不要",IF(F5=1,"要注意(イベント時はバックアップ検討)","バックアップ出動が必要"))</f>
        <v>バックアップ不要</v>
      </c>
    </row>
    <row r="6" customFormat="false" ht="17.15" hidden="false" customHeight="false" outlineLevel="0" collapsed="false">
      <c r="A6" s="9" t="s">
        <v>66</v>
      </c>
      <c r="B6" s="0" t="str">
        <f aca="false">VLOOKUP(A6,メンバーデータ!$A:$B,2,FALSE())</f>
        <v>B</v>
      </c>
      <c r="C6" s="37" t="n">
        <v>46254</v>
      </c>
      <c r="D6" s="10" t="s">
        <v>86</v>
      </c>
      <c r="E6" s="0" t="str">
        <f aca="false">INDEX('シフト表(2026年8月)'!$D$2:$AH$16,MATCH($A6,'シフト表(2026年8月)'!$A$2:$A$16,0),MATCH($C6,'シフト表(2026年8月)'!$D$1:$AH$1,0))</f>
        <v>早A</v>
      </c>
      <c r="F6" s="10" t="n">
        <f aca="false">SUMIFS(メンバーデータ!$O:$O,メンバーデータ!$B:$B,B6)-VLOOKUP(A6,メンバーデータ!$A:$O,15,FALSE())</f>
        <v>2</v>
      </c>
      <c r="G6" s="0" t="str">
        <f aca="false">IF(F6&gt;=2,"バックアップ不要",IF(F6=1,"要注意(イベント時はバックアップ検討)","バックアップ出動が必要"))</f>
        <v>バックアップ不要</v>
      </c>
    </row>
    <row r="7" customFormat="false" ht="17.15" hidden="false" customHeight="false" outlineLevel="0" collapsed="false">
      <c r="A7" s="9" t="s">
        <v>62</v>
      </c>
      <c r="B7" s="0" t="str">
        <f aca="false">VLOOKUP(A7,メンバーデータ!$A:$B,2,FALSE())</f>
        <v>C</v>
      </c>
      <c r="C7" s="38" t="n">
        <v>46249</v>
      </c>
      <c r="D7" s="10" t="s">
        <v>86</v>
      </c>
      <c r="E7" s="0" t="str">
        <f aca="false">INDEX('シフト表(2026年8月)'!$D$2:$AH$16,MATCH($A7,'シフト表(2026年8月)'!$A$2:$A$16,0),MATCH($C7,'シフト表(2026年8月)'!$D$1:$AH$1,0))</f>
        <v>早B</v>
      </c>
      <c r="F7" s="10" t="n">
        <f aca="false">SUMIFS(メンバーデータ!$O:$O,メンバーデータ!$B:$B,B7)-VLOOKUP(A7,メンバーデータ!$A:$O,15,FALSE())</f>
        <v>2</v>
      </c>
      <c r="G7" s="0" t="str">
        <f aca="false">IF(F7&gt;=2,"バックアップ不要",IF(F7=1,"要注意(イベント時はバックアップ検討)","バックアップ出動が必要"))</f>
        <v>バックアップ不要</v>
      </c>
    </row>
    <row r="8" customFormat="false" ht="17.15" hidden="false" customHeight="false" outlineLevel="0" collapsed="false">
      <c r="A8" s="9" t="s">
        <v>62</v>
      </c>
      <c r="B8" s="0" t="str">
        <f aca="false">VLOOKUP(A8,メンバーデータ!$A:$B,2,FALSE())</f>
        <v>C</v>
      </c>
      <c r="C8" s="39" t="n">
        <v>46250</v>
      </c>
      <c r="D8" s="10" t="s">
        <v>86</v>
      </c>
      <c r="E8" s="0" t="str">
        <f aca="false">INDEX('シフト表(2026年8月)'!$D$2:$AH$16,MATCH($A8,'シフト表(2026年8月)'!$A$2:$A$16,0),MATCH($C8,'シフト表(2026年8月)'!$D$1:$AH$1,0))</f>
        <v>夜</v>
      </c>
      <c r="F8" s="10" t="n">
        <f aca="false">SUMIFS(メンバーデータ!$O:$O,メンバーデータ!$B:$B,B8)-VLOOKUP(A8,メンバーデータ!$A:$O,15,FALSE())</f>
        <v>2</v>
      </c>
      <c r="G8" s="0" t="str">
        <f aca="false">IF(F8&gt;=2,"バックアップ不要",IF(F8=1,"要注意(イベント時はバックアップ検討)","バックアップ出動が必要"))</f>
        <v>バックアップ不要</v>
      </c>
    </row>
    <row r="9" customFormat="false" ht="17.15" hidden="false" customHeight="false" outlineLevel="0" collapsed="false">
      <c r="A9" s="9" t="s">
        <v>62</v>
      </c>
      <c r="B9" s="0" t="str">
        <f aca="false">VLOOKUP(A9,メンバーデータ!$A:$B,2,FALSE())</f>
        <v>C</v>
      </c>
      <c r="C9" s="35" t="n">
        <v>46251</v>
      </c>
      <c r="D9" s="10" t="s">
        <v>86</v>
      </c>
      <c r="E9" s="0" t="str">
        <f aca="false">INDEX('シフト表(2026年8月)'!$D$2:$AH$16,MATCH($A9,'シフト表(2026年8月)'!$A$2:$A$16,0),MATCH($C9,'シフト表(2026年8月)'!$D$1:$AH$1,0))</f>
        <v>明</v>
      </c>
      <c r="F9" s="10" t="n">
        <f aca="false">SUMIFS(メンバーデータ!$O:$O,メンバーデータ!$B:$B,B9)-VLOOKUP(A9,メンバーデータ!$A:$O,15,FALSE())</f>
        <v>2</v>
      </c>
      <c r="G9" s="0" t="str">
        <f aca="false">IF(F9&gt;=2,"バックアップ不要",IF(F9=1,"要注意(イベント時はバックアップ検討)","バックアップ出動が必要"))</f>
        <v>バックアップ不要</v>
      </c>
    </row>
    <row r="11" customFormat="false" ht="15" hidden="false" customHeight="false" outlineLevel="0" collapsed="false">
      <c r="A11" s="40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0"/>
    <col collapsed="false" customWidth="true" hidden="false" outlineLevel="0" max="3" min="3" style="0" width="30"/>
    <col collapsed="false" customWidth="true" hidden="false" outlineLevel="0" max="5" min="4" style="0" width="55"/>
  </cols>
  <sheetData>
    <row r="1" customFormat="false" ht="19.7" hidden="false" customHeight="false" outlineLevel="0" collapsed="false">
      <c r="A1" s="1" t="s">
        <v>88</v>
      </c>
      <c r="B1" s="1"/>
      <c r="C1" s="1"/>
      <c r="D1" s="1"/>
      <c r="E1" s="1"/>
    </row>
    <row r="3" customFormat="false" ht="17.15" hidden="false" customHeight="false" outlineLevel="0" collapsed="false">
      <c r="A3" s="2" t="s">
        <v>89</v>
      </c>
      <c r="B3" s="0" t="n">
        <v>13</v>
      </c>
    </row>
    <row r="4" customFormat="false" ht="15" hidden="false" customHeight="false" outlineLevel="0" collapsed="false">
      <c r="A4" s="2" t="s">
        <v>90</v>
      </c>
      <c r="B4" s="0" t="n">
        <v>5</v>
      </c>
      <c r="C4" s="41" t="s">
        <v>91</v>
      </c>
    </row>
    <row r="6" customFormat="false" ht="17.15" hidden="false" customHeight="false" outlineLevel="0" collapsed="false">
      <c r="A6" s="4" t="s">
        <v>92</v>
      </c>
      <c r="B6" s="4" t="s">
        <v>93</v>
      </c>
      <c r="C6" s="4" t="s">
        <v>94</v>
      </c>
    </row>
    <row r="7" customFormat="false" ht="17.15" hidden="false" customHeight="false" outlineLevel="0" collapsed="false">
      <c r="A7" s="9" t="s">
        <v>46</v>
      </c>
      <c r="B7" s="0" t="s">
        <v>95</v>
      </c>
      <c r="C7" s="0" t="n">
        <v>1</v>
      </c>
    </row>
    <row r="8" customFormat="false" ht="17.15" hidden="false" customHeight="false" outlineLevel="0" collapsed="false">
      <c r="A8" s="9" t="s">
        <v>53</v>
      </c>
      <c r="B8" s="0" t="s">
        <v>96</v>
      </c>
      <c r="C8" s="0" t="n">
        <v>2</v>
      </c>
    </row>
    <row r="9" customFormat="false" ht="17.15" hidden="false" customHeight="false" outlineLevel="0" collapsed="false">
      <c r="A9" s="9" t="s">
        <v>54</v>
      </c>
      <c r="B9" s="0" t="s">
        <v>97</v>
      </c>
      <c r="C9" s="0" t="n">
        <v>2</v>
      </c>
    </row>
    <row r="10" customFormat="false" ht="17.15" hidden="false" customHeight="false" outlineLevel="0" collapsed="false">
      <c r="A10" s="9" t="s">
        <v>63</v>
      </c>
      <c r="B10" s="0" t="s">
        <v>98</v>
      </c>
      <c r="C10" s="0" t="n">
        <v>4</v>
      </c>
    </row>
    <row r="11" customFormat="false" ht="17.15" hidden="false" customHeight="false" outlineLevel="0" collapsed="false">
      <c r="A11" s="9" t="s">
        <v>65</v>
      </c>
      <c r="B11" s="0" t="s">
        <v>99</v>
      </c>
      <c r="C11" s="0" t="n">
        <v>4</v>
      </c>
    </row>
    <row r="14" customFormat="false" ht="17.15" hidden="false" customHeight="false" outlineLevel="0" collapsed="false">
      <c r="A14" s="2" t="s">
        <v>100</v>
      </c>
    </row>
    <row r="15" customFormat="false" ht="17.15" hidden="false" customHeight="false" outlineLevel="0" collapsed="false">
      <c r="A15" s="4" t="s">
        <v>101</v>
      </c>
      <c r="B15" s="4" t="s">
        <v>102</v>
      </c>
      <c r="C15" s="4" t="s">
        <v>103</v>
      </c>
      <c r="D15" s="4" t="s">
        <v>104</v>
      </c>
      <c r="E15" s="4" t="s">
        <v>105</v>
      </c>
    </row>
    <row r="16" customFormat="false" ht="64.15" hidden="false" customHeight="false" outlineLevel="0" collapsed="false">
      <c r="A16" s="9" t="s">
        <v>106</v>
      </c>
      <c r="B16" s="42" t="s">
        <v>107</v>
      </c>
      <c r="C16" s="42" t="s">
        <v>108</v>
      </c>
      <c r="D16" s="42" t="s">
        <v>109</v>
      </c>
      <c r="E16" s="42" t="s">
        <v>110</v>
      </c>
    </row>
    <row r="17" customFormat="false" ht="64.15" hidden="false" customHeight="false" outlineLevel="0" collapsed="false">
      <c r="A17" s="9" t="s">
        <v>111</v>
      </c>
      <c r="B17" s="42" t="s">
        <v>112</v>
      </c>
      <c r="C17" s="42" t="s">
        <v>113</v>
      </c>
      <c r="D17" s="42" t="s">
        <v>114</v>
      </c>
      <c r="E17" s="42" t="s">
        <v>115</v>
      </c>
    </row>
    <row r="18" customFormat="false" ht="64.15" hidden="false" customHeight="false" outlineLevel="0" collapsed="false">
      <c r="A18" s="9" t="s">
        <v>116</v>
      </c>
      <c r="B18" s="42" t="s">
        <v>112</v>
      </c>
      <c r="C18" s="42" t="s">
        <v>113</v>
      </c>
      <c r="D18" s="42" t="s">
        <v>114</v>
      </c>
      <c r="E18" s="42" t="s">
        <v>115</v>
      </c>
    </row>
    <row r="19" customFormat="false" ht="64.15" hidden="false" customHeight="false" outlineLevel="0" collapsed="false">
      <c r="A19" s="9" t="s">
        <v>117</v>
      </c>
      <c r="B19" s="42" t="s">
        <v>118</v>
      </c>
      <c r="C19" s="42" t="s">
        <v>119</v>
      </c>
      <c r="D19" s="42" t="s">
        <v>120</v>
      </c>
      <c r="E19" s="42" t="s">
        <v>121</v>
      </c>
    </row>
    <row r="20" customFormat="false" ht="64.15" hidden="false" customHeight="false" outlineLevel="0" collapsed="false">
      <c r="A20" s="9" t="s">
        <v>122</v>
      </c>
      <c r="B20" s="42" t="s">
        <v>118</v>
      </c>
      <c r="C20" s="42" t="s">
        <v>123</v>
      </c>
      <c r="D20" s="42" t="s">
        <v>120</v>
      </c>
      <c r="E20" s="42" t="s">
        <v>124</v>
      </c>
    </row>
    <row r="21" customFormat="false" ht="64.15" hidden="false" customHeight="false" outlineLevel="0" collapsed="false">
      <c r="A21" s="9" t="s">
        <v>125</v>
      </c>
      <c r="B21" s="42" t="s">
        <v>126</v>
      </c>
      <c r="C21" s="42" t="s">
        <v>127</v>
      </c>
      <c r="D21" s="42" t="s">
        <v>128</v>
      </c>
      <c r="E21" s="42" t="s">
        <v>129</v>
      </c>
    </row>
    <row r="22" customFormat="false" ht="64.15" hidden="false" customHeight="false" outlineLevel="0" collapsed="false">
      <c r="A22" s="9" t="s">
        <v>130</v>
      </c>
      <c r="B22" s="42" t="s">
        <v>131</v>
      </c>
      <c r="C22" s="42" t="s">
        <v>132</v>
      </c>
      <c r="D22" s="42" t="s">
        <v>128</v>
      </c>
      <c r="E22" s="42" t="s">
        <v>129</v>
      </c>
    </row>
    <row r="23" customFormat="false" ht="64.15" hidden="false" customHeight="false" outlineLevel="0" collapsed="false">
      <c r="A23" s="9" t="s">
        <v>133</v>
      </c>
      <c r="B23" s="42" t="s">
        <v>126</v>
      </c>
      <c r="C23" s="42" t="s">
        <v>134</v>
      </c>
      <c r="D23" s="42" t="s">
        <v>128</v>
      </c>
      <c r="E23" s="42" t="s">
        <v>135</v>
      </c>
    </row>
    <row r="24" customFormat="false" ht="64.15" hidden="false" customHeight="false" outlineLevel="0" collapsed="false">
      <c r="A24" s="9" t="s">
        <v>136</v>
      </c>
      <c r="B24" s="42" t="s">
        <v>131</v>
      </c>
      <c r="C24" s="42" t="s">
        <v>132</v>
      </c>
      <c r="D24" s="42" t="s">
        <v>128</v>
      </c>
      <c r="E24" s="42" t="s">
        <v>129</v>
      </c>
    </row>
    <row r="25" customFormat="false" ht="64.15" hidden="false" customHeight="false" outlineLevel="0" collapsed="false">
      <c r="A25" s="9" t="s">
        <v>137</v>
      </c>
      <c r="B25" s="42" t="s">
        <v>138</v>
      </c>
      <c r="C25" s="42" t="s">
        <v>139</v>
      </c>
      <c r="D25" s="42" t="s">
        <v>140</v>
      </c>
      <c r="E25" s="42" t="s">
        <v>141</v>
      </c>
    </row>
    <row r="26" customFormat="false" ht="64.15" hidden="false" customHeight="false" outlineLevel="0" collapsed="false">
      <c r="A26" s="9" t="s">
        <v>142</v>
      </c>
      <c r="B26" s="42" t="s">
        <v>138</v>
      </c>
      <c r="C26" s="42" t="s">
        <v>143</v>
      </c>
      <c r="D26" s="42" t="s">
        <v>140</v>
      </c>
      <c r="E26" s="42" t="s">
        <v>141</v>
      </c>
    </row>
    <row r="27" customFormat="false" ht="64.15" hidden="false" customHeight="false" outlineLevel="0" collapsed="false">
      <c r="A27" s="9" t="s">
        <v>144</v>
      </c>
      <c r="B27" s="42" t="s">
        <v>145</v>
      </c>
      <c r="C27" s="42" t="s">
        <v>146</v>
      </c>
      <c r="D27" s="42" t="s">
        <v>140</v>
      </c>
      <c r="E27" s="42" t="s">
        <v>147</v>
      </c>
    </row>
    <row r="28" customFormat="false" ht="64.15" hidden="false" customHeight="false" outlineLevel="0" collapsed="false">
      <c r="A28" s="9" t="s">
        <v>148</v>
      </c>
      <c r="B28" s="42" t="s">
        <v>138</v>
      </c>
      <c r="C28" s="42" t="s">
        <v>143</v>
      </c>
      <c r="D28" s="42" t="s">
        <v>140</v>
      </c>
      <c r="E28" s="42" t="s">
        <v>141</v>
      </c>
    </row>
    <row r="30" customFormat="false" ht="39.75" hidden="false" customHeight="true" outlineLevel="0" collapsed="false">
      <c r="A30" s="43" t="s">
        <v>149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5" min="1" style="0" width="14"/>
  </cols>
  <sheetData>
    <row r="1" customFormat="false" ht="17.15" hidden="false" customHeight="false" outlineLevel="0" collapsed="false">
      <c r="A1" s="4" t="s">
        <v>44</v>
      </c>
      <c r="B1" s="4" t="s">
        <v>19</v>
      </c>
      <c r="C1" s="4" t="s">
        <v>45</v>
      </c>
      <c r="D1" s="4" t="s">
        <v>150</v>
      </c>
      <c r="E1" s="4" t="s">
        <v>151</v>
      </c>
      <c r="F1" s="4" t="s">
        <v>152</v>
      </c>
      <c r="G1" s="4" t="s">
        <v>153</v>
      </c>
      <c r="H1" s="4" t="s">
        <v>154</v>
      </c>
      <c r="I1" s="4" t="s">
        <v>155</v>
      </c>
      <c r="J1" s="4" t="s">
        <v>156</v>
      </c>
      <c r="K1" s="4" t="s">
        <v>157</v>
      </c>
      <c r="L1" s="4" t="s">
        <v>158</v>
      </c>
      <c r="M1" s="4" t="s">
        <v>159</v>
      </c>
      <c r="N1" s="4" t="s">
        <v>160</v>
      </c>
      <c r="O1" s="4" t="s">
        <v>161</v>
      </c>
    </row>
    <row r="2" customFormat="false" ht="17.15" hidden="false" customHeight="false" outlineLevel="0" collapsed="false">
      <c r="A2" s="9" t="s">
        <v>46</v>
      </c>
      <c r="B2" s="0" t="s">
        <v>22</v>
      </c>
      <c r="C2" s="9" t="s">
        <v>47</v>
      </c>
      <c r="D2" s="0" t="n">
        <v>118</v>
      </c>
      <c r="E2" s="9" t="s">
        <v>162</v>
      </c>
      <c r="F2" s="9" t="s">
        <v>163</v>
      </c>
      <c r="G2" s="9" t="s">
        <v>163</v>
      </c>
      <c r="H2" s="9" t="s">
        <v>164</v>
      </c>
      <c r="I2" s="9" t="s">
        <v>163</v>
      </c>
      <c r="J2" s="9" t="s">
        <v>165</v>
      </c>
      <c r="K2" s="0" t="n">
        <f aca="false">VLOOKUP(F2,段階マップ!$A:$B,2,FALSE())</f>
        <v>4</v>
      </c>
      <c r="L2" s="0" t="n">
        <f aca="false">VLOOKUP(G2,段階マップ!$A:$B,2,FALSE())</f>
        <v>4</v>
      </c>
      <c r="M2" s="0" t="n">
        <f aca="false">VLOOKUP(H2,段階マップ!$A:$B,2,FALSE())</f>
        <v>2</v>
      </c>
      <c r="N2" s="0" t="n">
        <f aca="false">VLOOKUP(I2,段階マップ!$A:$B,2,FALSE())</f>
        <v>4</v>
      </c>
      <c r="O2" s="0" t="n">
        <f aca="false">IF(MAX(K2:N2)&gt;=2,1,0)</f>
        <v>1</v>
      </c>
    </row>
    <row r="3" customFormat="false" ht="17.15" hidden="false" customHeight="false" outlineLevel="0" collapsed="false">
      <c r="A3" s="9" t="s">
        <v>53</v>
      </c>
      <c r="B3" s="0" t="s">
        <v>23</v>
      </c>
      <c r="C3" s="9" t="s">
        <v>47</v>
      </c>
      <c r="D3" s="0" t="n">
        <v>104</v>
      </c>
      <c r="E3" s="9" t="s">
        <v>166</v>
      </c>
      <c r="F3" s="9" t="s">
        <v>163</v>
      </c>
      <c r="G3" s="9" t="s">
        <v>164</v>
      </c>
      <c r="H3" s="9" t="s">
        <v>163</v>
      </c>
      <c r="I3" s="9" t="s">
        <v>164</v>
      </c>
      <c r="J3" s="9" t="s">
        <v>167</v>
      </c>
      <c r="K3" s="0" t="n">
        <f aca="false">VLOOKUP(F3,段階マップ!$A:$B,2,FALSE())</f>
        <v>4</v>
      </c>
      <c r="L3" s="0" t="n">
        <f aca="false">VLOOKUP(G3,段階マップ!$A:$B,2,FALSE())</f>
        <v>2</v>
      </c>
      <c r="M3" s="0" t="n">
        <f aca="false">VLOOKUP(H3,段階マップ!$A:$B,2,FALSE())</f>
        <v>4</v>
      </c>
      <c r="N3" s="0" t="n">
        <f aca="false">VLOOKUP(I3,段階マップ!$A:$B,2,FALSE())</f>
        <v>2</v>
      </c>
      <c r="O3" s="0" t="n">
        <f aca="false">IF(MAX(K3:N3)&gt;=2,1,0)</f>
        <v>1</v>
      </c>
    </row>
    <row r="4" customFormat="false" ht="17.15" hidden="false" customHeight="false" outlineLevel="0" collapsed="false">
      <c r="A4" s="9" t="s">
        <v>54</v>
      </c>
      <c r="B4" s="0" t="s">
        <v>24</v>
      </c>
      <c r="C4" s="9" t="s">
        <v>47</v>
      </c>
      <c r="D4" s="0" t="n">
        <v>96</v>
      </c>
      <c r="E4" s="9" t="s">
        <v>168</v>
      </c>
      <c r="F4" s="9" t="s">
        <v>164</v>
      </c>
      <c r="G4" s="9" t="s">
        <v>163</v>
      </c>
      <c r="H4" s="9" t="s">
        <v>164</v>
      </c>
      <c r="I4" s="9" t="s">
        <v>163</v>
      </c>
      <c r="J4" s="9" t="s">
        <v>169</v>
      </c>
      <c r="K4" s="0" t="n">
        <f aca="false">VLOOKUP(F4,段階マップ!$A:$B,2,FALSE())</f>
        <v>2</v>
      </c>
      <c r="L4" s="0" t="n">
        <f aca="false">VLOOKUP(G4,段階マップ!$A:$B,2,FALSE())</f>
        <v>4</v>
      </c>
      <c r="M4" s="0" t="n">
        <f aca="false">VLOOKUP(H4,段階マップ!$A:$B,2,FALSE())</f>
        <v>2</v>
      </c>
      <c r="N4" s="0" t="n">
        <f aca="false">VLOOKUP(I4,段階マップ!$A:$B,2,FALSE())</f>
        <v>4</v>
      </c>
      <c r="O4" s="0" t="n">
        <f aca="false">IF(MAX(K4:N4)&gt;=2,1,0)</f>
        <v>1</v>
      </c>
    </row>
    <row r="5" customFormat="false" ht="17.15" hidden="false" customHeight="false" outlineLevel="0" collapsed="false">
      <c r="A5" s="9" t="s">
        <v>55</v>
      </c>
      <c r="B5" s="0" t="s">
        <v>22</v>
      </c>
      <c r="C5" s="9" t="s">
        <v>56</v>
      </c>
      <c r="D5" s="0" t="n">
        <v>46</v>
      </c>
      <c r="E5" s="9" t="s">
        <v>170</v>
      </c>
      <c r="F5" s="9" t="s">
        <v>164</v>
      </c>
      <c r="G5" s="9" t="s">
        <v>164</v>
      </c>
      <c r="H5" s="9" t="s">
        <v>171</v>
      </c>
      <c r="I5" s="9" t="s">
        <v>164</v>
      </c>
      <c r="J5" s="9" t="s">
        <v>172</v>
      </c>
      <c r="K5" s="0" t="n">
        <f aca="false">VLOOKUP(F5,段階マップ!$A:$B,2,FALSE())</f>
        <v>2</v>
      </c>
      <c r="L5" s="0" t="n">
        <f aca="false">VLOOKUP(G5,段階マップ!$A:$B,2,FALSE())</f>
        <v>2</v>
      </c>
      <c r="M5" s="0" t="n">
        <f aca="false">VLOOKUP(H5,段階マップ!$A:$B,2,FALSE())</f>
        <v>1</v>
      </c>
      <c r="N5" s="0" t="n">
        <f aca="false">VLOOKUP(I5,段階マップ!$A:$B,2,FALSE())</f>
        <v>2</v>
      </c>
      <c r="O5" s="0" t="n">
        <f aca="false">IF(MAX(K5:N5)&gt;=2,1,0)</f>
        <v>1</v>
      </c>
    </row>
    <row r="6" customFormat="false" ht="17.15" hidden="false" customHeight="false" outlineLevel="0" collapsed="false">
      <c r="A6" s="9" t="s">
        <v>57</v>
      </c>
      <c r="B6" s="0" t="s">
        <v>23</v>
      </c>
      <c r="C6" s="9" t="s">
        <v>56</v>
      </c>
      <c r="D6" s="0" t="n">
        <v>41</v>
      </c>
      <c r="E6" s="9" t="s">
        <v>170</v>
      </c>
      <c r="F6" s="9" t="s">
        <v>164</v>
      </c>
      <c r="G6" s="9" t="s">
        <v>171</v>
      </c>
      <c r="H6" s="9" t="s">
        <v>164</v>
      </c>
      <c r="I6" s="9" t="s">
        <v>164</v>
      </c>
      <c r="J6" s="9" t="s">
        <v>172</v>
      </c>
      <c r="K6" s="0" t="n">
        <f aca="false">VLOOKUP(F6,段階マップ!$A:$B,2,FALSE())</f>
        <v>2</v>
      </c>
      <c r="L6" s="0" t="n">
        <f aca="false">VLOOKUP(G6,段階マップ!$A:$B,2,FALSE())</f>
        <v>1</v>
      </c>
      <c r="M6" s="0" t="n">
        <f aca="false">VLOOKUP(H6,段階マップ!$A:$B,2,FALSE())</f>
        <v>2</v>
      </c>
      <c r="N6" s="0" t="n">
        <f aca="false">VLOOKUP(I6,段階マップ!$A:$B,2,FALSE())</f>
        <v>2</v>
      </c>
      <c r="O6" s="0" t="n">
        <f aca="false">IF(MAX(K6:N6)&gt;=2,1,0)</f>
        <v>1</v>
      </c>
    </row>
    <row r="7" customFormat="false" ht="15" hidden="false" customHeight="false" outlineLevel="0" collapsed="false">
      <c r="A7" s="9" t="s">
        <v>58</v>
      </c>
      <c r="B7" s="0" t="s">
        <v>24</v>
      </c>
      <c r="C7" s="9" t="s">
        <v>56</v>
      </c>
      <c r="D7" s="0" t="n">
        <v>38</v>
      </c>
      <c r="F7" s="9" t="s">
        <v>171</v>
      </c>
      <c r="G7" s="9" t="s">
        <v>164</v>
      </c>
      <c r="H7" s="9" t="s">
        <v>164</v>
      </c>
      <c r="I7" s="9" t="s">
        <v>171</v>
      </c>
      <c r="J7" s="9" t="s">
        <v>173</v>
      </c>
      <c r="K7" s="0" t="n">
        <f aca="false">VLOOKUP(F7,段階マップ!$A:$B,2,FALSE())</f>
        <v>1</v>
      </c>
      <c r="L7" s="0" t="n">
        <f aca="false">VLOOKUP(G7,段階マップ!$A:$B,2,FALSE())</f>
        <v>2</v>
      </c>
      <c r="M7" s="0" t="n">
        <f aca="false">VLOOKUP(H7,段階マップ!$A:$B,2,FALSE())</f>
        <v>2</v>
      </c>
      <c r="N7" s="0" t="n">
        <f aca="false">VLOOKUP(I7,段階マップ!$A:$B,2,FALSE())</f>
        <v>1</v>
      </c>
      <c r="O7" s="0" t="n">
        <f aca="false">IF(MAX(K7:N7)&gt;=2,1,0)</f>
        <v>1</v>
      </c>
    </row>
    <row r="8" customFormat="false" ht="17.15" hidden="false" customHeight="false" outlineLevel="0" collapsed="false">
      <c r="A8" s="9" t="s">
        <v>59</v>
      </c>
      <c r="B8" s="0" t="s">
        <v>25</v>
      </c>
      <c r="C8" s="9" t="s">
        <v>56</v>
      </c>
      <c r="D8" s="0" t="n">
        <v>35</v>
      </c>
      <c r="E8" s="9" t="s">
        <v>170</v>
      </c>
      <c r="F8" s="9" t="s">
        <v>171</v>
      </c>
      <c r="G8" s="9" t="s">
        <v>164</v>
      </c>
      <c r="H8" s="9" t="s">
        <v>171</v>
      </c>
      <c r="I8" s="9" t="s">
        <v>164</v>
      </c>
      <c r="J8" s="9" t="s">
        <v>174</v>
      </c>
      <c r="K8" s="0" t="n">
        <f aca="false">VLOOKUP(F8,段階マップ!$A:$B,2,FALSE())</f>
        <v>1</v>
      </c>
      <c r="L8" s="0" t="n">
        <f aca="false">VLOOKUP(G8,段階マップ!$A:$B,2,FALSE())</f>
        <v>2</v>
      </c>
      <c r="M8" s="0" t="n">
        <f aca="false">VLOOKUP(H8,段階マップ!$A:$B,2,FALSE())</f>
        <v>1</v>
      </c>
      <c r="N8" s="0" t="n">
        <f aca="false">VLOOKUP(I8,段階マップ!$A:$B,2,FALSE())</f>
        <v>2</v>
      </c>
      <c r="O8" s="0" t="n">
        <f aca="false">IF(MAX(K8:N8)&gt;=2,1,0)</f>
        <v>1</v>
      </c>
    </row>
    <row r="9" customFormat="false" ht="15" hidden="false" customHeight="false" outlineLevel="0" collapsed="false">
      <c r="A9" s="9" t="s">
        <v>60</v>
      </c>
      <c r="B9" s="0" t="s">
        <v>22</v>
      </c>
      <c r="C9" s="9" t="s">
        <v>61</v>
      </c>
      <c r="D9" s="0" t="n">
        <v>20</v>
      </c>
      <c r="F9" s="9" t="s">
        <v>171</v>
      </c>
      <c r="G9" s="9" t="s">
        <v>171</v>
      </c>
      <c r="H9" s="9" t="s">
        <v>175</v>
      </c>
      <c r="I9" s="9" t="s">
        <v>164</v>
      </c>
      <c r="K9" s="0" t="n">
        <f aca="false">VLOOKUP(F9,段階マップ!$A:$B,2,FALSE())</f>
        <v>1</v>
      </c>
      <c r="L9" s="0" t="n">
        <f aca="false">VLOOKUP(G9,段階マップ!$A:$B,2,FALSE())</f>
        <v>1</v>
      </c>
      <c r="M9" s="0" t="n">
        <f aca="false">VLOOKUP(H9,段階マップ!$A:$B,2,FALSE())</f>
        <v>0</v>
      </c>
      <c r="N9" s="0" t="n">
        <f aca="false">VLOOKUP(I9,段階マップ!$A:$B,2,FALSE())</f>
        <v>2</v>
      </c>
      <c r="O9" s="0" t="n">
        <f aca="false">IF(MAX(K9:N9)&gt;=2,1,0)</f>
        <v>1</v>
      </c>
    </row>
    <row r="10" customFormat="false" ht="15" hidden="false" customHeight="false" outlineLevel="0" collapsed="false">
      <c r="A10" s="9" t="s">
        <v>62</v>
      </c>
      <c r="B10" s="0" t="s">
        <v>24</v>
      </c>
      <c r="C10" s="9" t="s">
        <v>61</v>
      </c>
      <c r="D10" s="0" t="n">
        <v>16</v>
      </c>
      <c r="F10" s="9" t="s">
        <v>175</v>
      </c>
      <c r="G10" s="9" t="s">
        <v>171</v>
      </c>
      <c r="H10" s="9" t="s">
        <v>171</v>
      </c>
      <c r="I10" s="9" t="s">
        <v>171</v>
      </c>
      <c r="K10" s="0" t="n">
        <f aca="false">VLOOKUP(F10,段階マップ!$A:$B,2,FALSE())</f>
        <v>0</v>
      </c>
      <c r="L10" s="0" t="n">
        <f aca="false">VLOOKUP(G10,段階マップ!$A:$B,2,FALSE())</f>
        <v>1</v>
      </c>
      <c r="M10" s="0" t="n">
        <f aca="false">VLOOKUP(H10,段階マップ!$A:$B,2,FALSE())</f>
        <v>1</v>
      </c>
      <c r="N10" s="0" t="n">
        <f aca="false">VLOOKUP(I10,段階マップ!$A:$B,2,FALSE())</f>
        <v>1</v>
      </c>
      <c r="O10" s="0" t="n">
        <f aca="false">IF(MAX(K10:N10)&gt;=2,1,0)</f>
        <v>0</v>
      </c>
    </row>
    <row r="11" customFormat="false" ht="17.15" hidden="false" customHeight="false" outlineLevel="0" collapsed="false">
      <c r="A11" s="9" t="s">
        <v>63</v>
      </c>
      <c r="B11" s="0" t="s">
        <v>25</v>
      </c>
      <c r="C11" s="9" t="s">
        <v>64</v>
      </c>
      <c r="D11" s="0" t="n">
        <v>68</v>
      </c>
      <c r="E11" s="9" t="s">
        <v>176</v>
      </c>
      <c r="F11" s="9" t="s">
        <v>164</v>
      </c>
      <c r="G11" s="9" t="s">
        <v>177</v>
      </c>
      <c r="H11" s="9" t="s">
        <v>164</v>
      </c>
      <c r="I11" s="9" t="s">
        <v>177</v>
      </c>
      <c r="J11" s="9" t="s">
        <v>178</v>
      </c>
      <c r="K11" s="0" t="n">
        <f aca="false">VLOOKUP(F11,段階マップ!$A:$B,2,FALSE())</f>
        <v>2</v>
      </c>
      <c r="L11" s="0" t="n">
        <f aca="false">VLOOKUP(G11,段階マップ!$A:$B,2,FALSE())</f>
        <v>3</v>
      </c>
      <c r="M11" s="0" t="n">
        <f aca="false">VLOOKUP(H11,段階マップ!$A:$B,2,FALSE())</f>
        <v>2</v>
      </c>
      <c r="N11" s="0" t="n">
        <f aca="false">VLOOKUP(I11,段階マップ!$A:$B,2,FALSE())</f>
        <v>3</v>
      </c>
      <c r="O11" s="0" t="n">
        <f aca="false">IF(MAX(K11:N11)&gt;=2,1,0)</f>
        <v>1</v>
      </c>
    </row>
    <row r="12" customFormat="false" ht="17.15" hidden="false" customHeight="false" outlineLevel="0" collapsed="false">
      <c r="A12" s="9" t="s">
        <v>65</v>
      </c>
      <c r="B12" s="0" t="s">
        <v>26</v>
      </c>
      <c r="C12" s="9" t="s">
        <v>64</v>
      </c>
      <c r="D12" s="0" t="n">
        <v>61</v>
      </c>
      <c r="E12" s="9" t="s">
        <v>170</v>
      </c>
      <c r="F12" s="9" t="s">
        <v>164</v>
      </c>
      <c r="G12" s="9" t="s">
        <v>164</v>
      </c>
      <c r="H12" s="9" t="s">
        <v>177</v>
      </c>
      <c r="I12" s="9" t="s">
        <v>164</v>
      </c>
      <c r="J12" s="9" t="s">
        <v>179</v>
      </c>
      <c r="K12" s="0" t="n">
        <f aca="false">VLOOKUP(F12,段階マップ!$A:$B,2,FALSE())</f>
        <v>2</v>
      </c>
      <c r="L12" s="0" t="n">
        <f aca="false">VLOOKUP(G12,段階マップ!$A:$B,2,FALSE())</f>
        <v>2</v>
      </c>
      <c r="M12" s="0" t="n">
        <f aca="false">VLOOKUP(H12,段階マップ!$A:$B,2,FALSE())</f>
        <v>3</v>
      </c>
      <c r="N12" s="0" t="n">
        <f aca="false">VLOOKUP(I12,段階マップ!$A:$B,2,FALSE())</f>
        <v>2</v>
      </c>
      <c r="O12" s="0" t="n">
        <f aca="false">IF(MAX(K12:N12)&gt;=2,1,0)</f>
        <v>1</v>
      </c>
    </row>
    <row r="13" customFormat="false" ht="15" hidden="false" customHeight="false" outlineLevel="0" collapsed="false">
      <c r="A13" s="9" t="s">
        <v>66</v>
      </c>
      <c r="B13" s="0" t="s">
        <v>23</v>
      </c>
      <c r="C13" s="9" t="s">
        <v>67</v>
      </c>
      <c r="D13" s="0" t="n">
        <v>6</v>
      </c>
      <c r="F13" s="9" t="s">
        <v>175</v>
      </c>
      <c r="G13" s="9" t="s">
        <v>175</v>
      </c>
      <c r="H13" s="9" t="s">
        <v>175</v>
      </c>
      <c r="I13" s="9" t="s">
        <v>171</v>
      </c>
      <c r="K13" s="0" t="n">
        <f aca="false">VLOOKUP(F13,段階マップ!$A:$B,2,FALSE())</f>
        <v>0</v>
      </c>
      <c r="L13" s="0" t="n">
        <f aca="false">VLOOKUP(G13,段階マップ!$A:$B,2,FALSE())</f>
        <v>0</v>
      </c>
      <c r="M13" s="0" t="n">
        <f aca="false">VLOOKUP(H13,段階マップ!$A:$B,2,FALSE())</f>
        <v>0</v>
      </c>
      <c r="N13" s="0" t="n">
        <f aca="false">VLOOKUP(I13,段階マップ!$A:$B,2,FALSE())</f>
        <v>1</v>
      </c>
      <c r="O13" s="0" t="n">
        <f aca="false">IF(MAX(K13:N13)&gt;=2,1,0)</f>
        <v>0</v>
      </c>
    </row>
    <row r="14" customFormat="false" ht="15" hidden="false" customHeight="false" outlineLevel="0" collapsed="false">
      <c r="A14" s="9" t="s">
        <v>68</v>
      </c>
      <c r="B14" s="0" t="s">
        <v>25</v>
      </c>
      <c r="C14" s="9" t="s">
        <v>67</v>
      </c>
      <c r="D14" s="0" t="n">
        <v>3</v>
      </c>
      <c r="F14" s="9" t="s">
        <v>175</v>
      </c>
      <c r="G14" s="9" t="s">
        <v>175</v>
      </c>
      <c r="H14" s="9" t="s">
        <v>175</v>
      </c>
      <c r="I14" s="9" t="s">
        <v>175</v>
      </c>
      <c r="K14" s="0" t="n">
        <f aca="false">VLOOKUP(F14,段階マップ!$A:$B,2,FALSE())</f>
        <v>0</v>
      </c>
      <c r="L14" s="0" t="n">
        <f aca="false">VLOOKUP(G14,段階マップ!$A:$B,2,FALSE())</f>
        <v>0</v>
      </c>
      <c r="M14" s="0" t="n">
        <f aca="false">VLOOKUP(H14,段階マップ!$A:$B,2,FALSE())</f>
        <v>0</v>
      </c>
      <c r="N14" s="0" t="n">
        <f aca="false">VLOOKUP(I14,段階マップ!$A:$B,2,FALSE())</f>
        <v>0</v>
      </c>
      <c r="O14" s="0" t="n">
        <f aca="false">IF(MAX(K14:N14)&gt;=2,1,0)</f>
        <v>0</v>
      </c>
    </row>
    <row r="15" customFormat="false" ht="17.15" hidden="false" customHeight="false" outlineLevel="0" collapsed="false">
      <c r="A15" s="9" t="s">
        <v>69</v>
      </c>
      <c r="B15" s="0" t="s">
        <v>26</v>
      </c>
      <c r="C15" s="9" t="s">
        <v>56</v>
      </c>
      <c r="D15" s="0" t="n">
        <v>33</v>
      </c>
      <c r="E15" s="9" t="s">
        <v>170</v>
      </c>
      <c r="F15" s="9" t="s">
        <v>171</v>
      </c>
      <c r="G15" s="9" t="s">
        <v>164</v>
      </c>
      <c r="H15" s="9" t="s">
        <v>164</v>
      </c>
      <c r="I15" s="9" t="s">
        <v>171</v>
      </c>
      <c r="J15" s="9" t="s">
        <v>180</v>
      </c>
      <c r="K15" s="0" t="n">
        <f aca="false">VLOOKUP(F15,段階マップ!$A:$B,2,FALSE())</f>
        <v>1</v>
      </c>
      <c r="L15" s="0" t="n">
        <f aca="false">VLOOKUP(G15,段階マップ!$A:$B,2,FALSE())</f>
        <v>2</v>
      </c>
      <c r="M15" s="0" t="n">
        <f aca="false">VLOOKUP(H15,段階マップ!$A:$B,2,FALSE())</f>
        <v>2</v>
      </c>
      <c r="N15" s="0" t="n">
        <f aca="false">VLOOKUP(I15,段階マップ!$A:$B,2,FALSE())</f>
        <v>1</v>
      </c>
      <c r="O15" s="0" t="n">
        <f aca="false">IF(MAX(K15:N15)&gt;=2,1,0)</f>
        <v>1</v>
      </c>
    </row>
    <row r="16" customFormat="false" ht="15" hidden="false" customHeight="false" outlineLevel="0" collapsed="false">
      <c r="A16" s="9" t="s">
        <v>70</v>
      </c>
      <c r="B16" s="0" t="s">
        <v>26</v>
      </c>
      <c r="C16" s="9" t="s">
        <v>61</v>
      </c>
      <c r="D16" s="0" t="n">
        <v>14</v>
      </c>
      <c r="F16" s="9" t="s">
        <v>175</v>
      </c>
      <c r="G16" s="9" t="s">
        <v>171</v>
      </c>
      <c r="H16" s="9" t="s">
        <v>175</v>
      </c>
      <c r="I16" s="9" t="s">
        <v>171</v>
      </c>
      <c r="K16" s="0" t="n">
        <f aca="false">VLOOKUP(F16,段階マップ!$A:$B,2,FALSE())</f>
        <v>0</v>
      </c>
      <c r="L16" s="0" t="n">
        <f aca="false">VLOOKUP(G16,段階マップ!$A:$B,2,FALSE())</f>
        <v>1</v>
      </c>
      <c r="M16" s="0" t="n">
        <f aca="false">VLOOKUP(H16,段階マップ!$A:$B,2,FALSE())</f>
        <v>0</v>
      </c>
      <c r="N16" s="0" t="n">
        <f aca="false">VLOOKUP(I16,段階マップ!$A:$B,2,FALSE())</f>
        <v>1</v>
      </c>
      <c r="O16" s="0" t="n">
        <f aca="false">IF(MAX(K16:N16)&gt;=2,1,0)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9" t="s">
        <v>181</v>
      </c>
      <c r="B1" s="9" t="s">
        <v>182</v>
      </c>
    </row>
    <row r="2" customFormat="false" ht="15" hidden="false" customHeight="false" outlineLevel="0" collapsed="false">
      <c r="A2" s="9" t="s">
        <v>175</v>
      </c>
      <c r="B2" s="0" t="n">
        <v>0</v>
      </c>
    </row>
    <row r="3" customFormat="false" ht="15" hidden="false" customHeight="false" outlineLevel="0" collapsed="false">
      <c r="A3" s="9" t="s">
        <v>171</v>
      </c>
      <c r="B3" s="0" t="n">
        <v>1</v>
      </c>
    </row>
    <row r="4" customFormat="false" ht="15" hidden="false" customHeight="false" outlineLevel="0" collapsed="false">
      <c r="A4" s="9" t="s">
        <v>164</v>
      </c>
      <c r="B4" s="0" t="n">
        <v>2</v>
      </c>
    </row>
    <row r="5" customFormat="false" ht="15" hidden="false" customHeight="false" outlineLevel="0" collapsed="false">
      <c r="A5" s="9" t="s">
        <v>177</v>
      </c>
      <c r="B5" s="0" t="n">
        <v>3</v>
      </c>
    </row>
    <row r="6" customFormat="false" ht="15" hidden="false" customHeight="false" outlineLevel="0" collapsed="false">
      <c r="A6" s="9" t="s">
        <v>163</v>
      </c>
      <c r="B6" s="0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2026-07-25T05:33:32Z</dcterms:created>
  <dc:creator>openpyxl</dc:creator>
  <dc:description/>
  <dc:language>en-US</dc:language>
  <cp:lastModifiedBy/>
  <dcterms:modified xsi:type="dcterms:W3CDTF">2026-07-25T05:33:32Z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