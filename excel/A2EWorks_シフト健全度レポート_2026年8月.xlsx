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シフト健全度" sheetId="1" state="visible" r:id="rId3"/>
    <sheet name="シフト表(2026年8月)" sheetId="2" state="visible" r:id="rId4"/>
    <sheet name="希望休申請一覧" sheetId="3" state="visible" r:id="rId5"/>
    <sheet name="頭打ち箇所と対応案" sheetId="4" state="visible" r:id="rId6"/>
    <sheet name="メンバーデータ" sheetId="5" state="visible" r:id="rId7"/>
    <sheet name="段階マップ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<sst xmlns="http://schemas.openxmlformats.org/spreadsheetml/2006/main" count="828" uniqueCount="174">
  <si>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</si>
  <si>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</si>
  <si>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</si>
  <si>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指標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</si>
  <si>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</si>
  <si>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</si>
  <si>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</si>
  <si>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</si>
  <si>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</si>
  <si>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</si>
  <si>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</si>
  <si>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</si>
  <si>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</si>
  <si>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</si>
  <si>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</si>
  <si>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</si>
  <si>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</si>
  <si>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</si>
  <si>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</si>
  <si>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</si>
  <si>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</si>
  <si>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</si>
  <si>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</si>
  <si>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</si>
  <si>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</si>
  <si>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</si>
  <si>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</si>
  <si>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</si>
  <si>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</si>
  <si>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</si>
  <si>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</si>
  <si>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</si>
  <si>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</si>
  <si>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</si>
  <si>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</si>
  <si>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</si>
  <si>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</si>
  <si>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</si>
  <si>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</si>
  <si>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</si>
  <si>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</si>
  <si>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</si>
  <si>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</si>
  <si>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</si>
  <si>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</si>
  <si>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</si>
  <si>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</si>
  <si>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</si>
  <si>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</si>
  <si>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</si>
  <si>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</si>
  <si>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</si>
  <si>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</si>
  <si>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</si>
  <si>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</si>
  <si>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</si>
  <si>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</si>
  <si>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</si>
  <si>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</si>
  <si>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</si>
  <si>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</si>
  <si>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</si>
  <si>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</si>
  <si>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</si>
  <si>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</si>
  <si>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</si>
  <si>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</si>
  <si>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</si>
  <si>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</si>
  <si>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</si>
  <si>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</si>
  <si>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</si>
  <si>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</si>
  <si>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</si>
  <si>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</si>
  <si>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</si>
  <si>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</si>
  <si>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</si>
  <si>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</si>
  <si>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</si>
  <si>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</si>
  <si>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</si>
  <si>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</si>
  <si>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</si>
  <si>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</si>
  <si>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</si>
  <si>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</si>
  <si>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※「承認後のチーム残人数」は、そのチームで設備を単独対応以上でこなせる人数から、申請者本人の分を除いた人数です。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</si>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</sst>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m/d&quot;(土)&quot;"/>
    <numFmt numFmtId="167" formatCode="m/d&quot;(日)&quot;"/>
    <numFmt numFmtId="168" formatCode="m/d&quot;(月)&quot;"/>
    <numFmt numFmtId="169" formatCode="m/d&quot;(火)&quot;"/>
    <numFmt numFmtId="170" formatCode="m/d&quot;(水)&quot;"/>
    <numFmt numFmtId="171" formatCode="m/d&quot;(木)&quot;"/>
    <numFmt numFmtId="172" formatCode="m/d&quot;(金)&quot;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color rgb="FFFFFFFF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3" customFormat="false" ht="24.45" hidden="false" customHeight="false" outlineLevel="0" collapsed="false">
      <c r="A3" s="2" t="s">
        <v>1</v>
      </c>
      <c r="C3" s="3" t="n">
        <f aca="false">B13</f>
        <v>71.5833333333333</v>
      </c>
    </row>
    <row r="4" customFormat="false" ht="17.15" hidden="false" customHeight="false" outlineLevel="0" collapsed="false">
      <c r="A4" s="2" t="s">
        <v>2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4" t="s">
        <v>3</v>
      </c>
      <c r="B6" s="4" t="s">
        <v>4</v>
      </c>
    </row>
    <row r="7" customFormat="false" ht="15" hidden="false" customHeight="false" outlineLevel="0" collapsed="false">
      <c r="A7" s="5" t="s">
        <v>5</v>
      </c>
      <c r="B7" s="6" t="n">
        <f aca="false">B39</f>
        <v>41.25</v>
      </c>
    </row>
    <row r="8" customFormat="false" ht="15" hidden="false" customHeight="false" outlineLevel="0" collapsed="false">
      <c r="A8" s="5" t="s">
        <v>6</v>
      </c>
      <c r="B8" s="6" t="n">
        <f aca="false">C21</f>
        <v>100</v>
      </c>
    </row>
    <row r="9" customFormat="false" ht="15" hidden="false" customHeight="false" outlineLevel="0" collapsed="false">
      <c r="A9" s="5" t="s">
        <v>7</v>
      </c>
      <c r="B9" s="6" t="n">
        <f aca="false">D37</f>
        <v>50</v>
      </c>
    </row>
    <row r="10" customFormat="false" ht="15" hidden="false" customHeight="false" outlineLevel="0" collapsed="false">
      <c r="A10" s="5" t="s">
        <v>8</v>
      </c>
      <c r="B10" s="6" t="n">
        <f aca="false">B40</f>
        <v>66.6666666666667</v>
      </c>
    </row>
    <row r="11" customFormat="false" ht="15" hidden="false" customHeight="false" outlineLevel="0" collapsed="false">
      <c r="A11" s="5" t="s">
        <v>9</v>
      </c>
      <c r="B11" s="6" t="n">
        <f aca="false">D30</f>
        <v>100</v>
      </c>
    </row>
    <row r="13" customFormat="false" ht="16.15" hidden="false" customHeight="false" outlineLevel="0" collapsed="false">
      <c r="A13" s="7" t="s">
        <v>1</v>
      </c>
      <c r="B13" s="7" t="n">
        <f aca="false">AVERAGE(B7,B8,B9,B10,B11)</f>
        <v>71.5833333333333</v>
      </c>
    </row>
    <row r="15" customFormat="false" ht="17.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4" t="s">
        <v>11</v>
      </c>
      <c r="B16" s="4" t="s">
        <v>12</v>
      </c>
      <c r="C16" s="4" t="s">
        <v>4</v>
      </c>
    </row>
    <row r="17" customFormat="false" ht="15" hidden="false" customHeight="false" outlineLevel="0" collapsed="false">
      <c r="A17" s="8" t="s">
        <v>13</v>
      </c>
      <c r="B17" s="0" t="n">
        <f aca="false">COUNTIF(メンバーデータ!K2:K16,"&gt;=2")</f>
        <v>7</v>
      </c>
      <c r="C17" s="0" t="n">
        <f aca="false">MIN(B17,3)/3*100</f>
        <v>100</v>
      </c>
    </row>
    <row r="18" customFormat="false" ht="15" hidden="false" customHeight="false" outlineLevel="0" collapsed="false">
      <c r="A18" s="8" t="s">
        <v>14</v>
      </c>
      <c r="B18" s="0" t="n">
        <f aca="false">COUNTIF(メンバーデータ!L2:L16,"&gt;=2")</f>
        <v>9</v>
      </c>
      <c r="C18" s="0" t="n">
        <f aca="false">MIN(B18,3)/3*100</f>
        <v>100</v>
      </c>
    </row>
    <row r="19" customFormat="false" ht="15" hidden="false" customHeight="false" outlineLevel="0" collapsed="false">
      <c r="A19" s="8" t="s">
        <v>15</v>
      </c>
      <c r="B19" s="0" t="n">
        <f aca="false">COUNTIF(メンバーデータ!M2:M16,"&gt;=2")</f>
        <v>8</v>
      </c>
      <c r="C19" s="0" t="n">
        <f aca="false">MIN(B19,3)/3*100</f>
        <v>100</v>
      </c>
    </row>
    <row r="20" customFormat="false" ht="15" hidden="false" customHeight="false" outlineLevel="0" collapsed="false">
      <c r="A20" s="8" t="s">
        <v>16</v>
      </c>
      <c r="B20" s="0" t="n">
        <f aca="false">COUNTIF(メンバーデータ!N2:N16,"&gt;=2")</f>
        <v>9</v>
      </c>
      <c r="C20" s="0" t="n">
        <f aca="false">MIN(B20,3)/3*100</f>
        <v>100</v>
      </c>
    </row>
    <row r="21" customFormat="false" ht="17.15" hidden="false" customHeight="false" outlineLevel="0" collapsed="false">
      <c r="A21" s="2" t="s">
        <v>17</v>
      </c>
      <c r="C21" s="6" t="n">
        <f aca="false">AVERAGE(C17,C18,C19,C20)</f>
        <v>100</v>
      </c>
    </row>
    <row r="23" customFormat="false" ht="17.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4" t="s">
        <v>19</v>
      </c>
      <c r="B24" s="4" t="s">
        <v>20</v>
      </c>
      <c r="C24" s="4" t="s">
        <v>21</v>
      </c>
      <c r="D24" s="4" t="s">
        <v>4</v>
      </c>
    </row>
    <row r="25" customFormat="false" ht="15" hidden="false" customHeight="false" outlineLevel="0" collapsed="false">
      <c r="A25" s="0" t="s">
        <v>22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0" t="n">
        <f aca="false">MIN(B25,2)/2*100</f>
        <v>100</v>
      </c>
    </row>
    <row r="26" customFormat="false" ht="15" hidden="false" customHeight="false" outlineLevel="0" collapsed="false">
      <c r="A26" s="0" t="s">
        <v>23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0" t="n">
        <f aca="false">MIN(B26,2)/2*100</f>
        <v>100</v>
      </c>
    </row>
    <row r="27" customFormat="false" ht="15" hidden="false" customHeight="false" outlineLevel="0" collapsed="false">
      <c r="A27" s="0" t="s">
        <v>24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0" t="n">
        <f aca="false">MIN(B27,2)/2*100</f>
        <v>100</v>
      </c>
    </row>
    <row r="28" customFormat="false" ht="15" hidden="false" customHeight="false" outlineLevel="0" collapsed="false">
      <c r="A28" s="0" t="s">
        <v>25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0" t="n">
        <f aca="false">MIN(B28,2)/2*100</f>
        <v>100</v>
      </c>
    </row>
    <row r="29" customFormat="false" ht="15" hidden="false" customHeight="false" outlineLevel="0" collapsed="false">
      <c r="A29" s="0" t="s">
        <v>26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0" t="n">
        <f aca="false">MIN(B29,2)/2*100</f>
        <v>100</v>
      </c>
    </row>
    <row r="30" customFormat="false" ht="17.15" hidden="false" customHeight="false" outlineLevel="0" collapsed="false">
      <c r="A30" s="2" t="s">
        <v>27</v>
      </c>
      <c r="D30" s="6" t="n">
        <f aca="false">AVERAGE(D25,D26,D27,D28,D29)</f>
        <v>100</v>
      </c>
    </row>
    <row r="32" customFormat="false" ht="17.15" hidden="false" customHeight="false" outlineLevel="0" collapsed="false">
      <c r="A32" s="2" t="s">
        <v>28</v>
      </c>
    </row>
    <row r="33" customFormat="false" ht="15" hidden="false" customHeight="false" outlineLevel="0" collapsed="false">
      <c r="A33" s="4" t="s">
        <v>11</v>
      </c>
      <c r="B33" s="4" t="s">
        <v>29</v>
      </c>
      <c r="C33" s="4" t="s">
        <v>30</v>
      </c>
    </row>
    <row r="34" customFormat="false" ht="15" hidden="false" customHeight="false" outlineLevel="0" collapsed="false">
      <c r="A34" s="8" t="s">
        <v>13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8" t="s">
        <v>14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8" t="s">
        <v>15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2" t="s">
        <v>31</v>
      </c>
      <c r="B37" s="6" t="n">
        <f aca="false">SUM(B34,B35,B36)</f>
        <v>24</v>
      </c>
      <c r="C37" s="6" t="n">
        <f aca="false">SUM(C34,C35,C36)</f>
        <v>12</v>
      </c>
      <c r="D37" s="6" t="n">
        <f aca="false">C37/B37*100</f>
        <v>50</v>
      </c>
    </row>
    <row r="39" customFormat="false" ht="15" hidden="false" customHeight="false" outlineLevel="0" collapsed="false">
      <c r="A39" s="2" t="s">
        <v>5</v>
      </c>
      <c r="B39" s="6" t="n">
        <f aca="false">AVERAGE(メンバーデータ!K2:N16)/4*100</f>
        <v>41.25</v>
      </c>
    </row>
    <row r="40" customFormat="false" ht="15" hidden="false" customHeight="false" outlineLevel="0" collapsed="false">
      <c r="A40" s="2" t="s">
        <v>8</v>
      </c>
      <c r="B40" s="6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2" t="s">
        <v>32</v>
      </c>
    </row>
    <row r="43" customFormat="false" ht="17.15" hidden="false" customHeight="false" outlineLevel="0" collapsed="false">
      <c r="A43" s="4" t="s">
        <v>19</v>
      </c>
      <c r="B43" s="4" t="s">
        <v>33</v>
      </c>
    </row>
    <row r="44" customFormat="false" ht="15" hidden="false" customHeight="false" outlineLevel="0" collapsed="false">
      <c r="A44" s="0" t="s">
        <v>22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23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24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25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26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2" t="s">
        <v>34</v>
      </c>
    </row>
    <row r="52" customFormat="false" ht="15" hidden="false" customHeight="false" outlineLevel="0" collapsed="false">
      <c r="A52" s="4" t="s">
        <v>35</v>
      </c>
      <c r="B52" s="4" t="s">
        <v>36</v>
      </c>
    </row>
    <row r="53" customFormat="false" ht="17.15" hidden="false" customHeight="false" outlineLevel="0" collapsed="false">
      <c r="A53" s="0" t="s">
        <v>37</v>
      </c>
      <c r="B53" s="8" t="s">
        <v>38</v>
      </c>
    </row>
    <row r="54" customFormat="false" ht="17.15" hidden="false" customHeight="false" outlineLevel="0" collapsed="false">
      <c r="A54" s="0" t="s">
        <v>39</v>
      </c>
      <c r="B54" s="8" t="s">
        <v>40</v>
      </c>
    </row>
    <row r="55" customFormat="false" ht="17.15" hidden="false" customHeight="false" outlineLevel="0" collapsed="false">
      <c r="A55" s="0" t="s">
        <v>41</v>
      </c>
      <c r="B55" s="8" t="s">
        <v>42</v>
      </c>
    </row>
    <row r="58" customFormat="false" ht="60" hidden="false" customHeight="true" outlineLevel="0" collapsed="false">
      <c r="A58" s="9" t="s">
        <v>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10" t="n">
        <v>46235</v>
      </c>
      <c r="E1" s="11" t="n">
        <v>46236</v>
      </c>
      <c r="F1" s="12" t="n">
        <v>46237</v>
      </c>
      <c r="G1" s="13" t="n">
        <v>46238</v>
      </c>
      <c r="H1" s="14" t="n">
        <v>46239</v>
      </c>
      <c r="I1" s="15" t="n">
        <v>46240</v>
      </c>
      <c r="J1" s="16" t="n">
        <v>46241</v>
      </c>
      <c r="K1" s="10" t="n">
        <v>46242</v>
      </c>
      <c r="L1" s="11" t="n">
        <v>46243</v>
      </c>
      <c r="M1" s="12" t="n">
        <v>46244</v>
      </c>
      <c r="N1" s="13" t="n">
        <v>46245</v>
      </c>
      <c r="O1" s="14" t="n">
        <v>46246</v>
      </c>
      <c r="P1" s="15" t="n">
        <v>46247</v>
      </c>
      <c r="Q1" s="16" t="n">
        <v>46248</v>
      </c>
      <c r="R1" s="10" t="n">
        <v>46249</v>
      </c>
      <c r="S1" s="11" t="n">
        <v>46250</v>
      </c>
      <c r="T1" s="12" t="n">
        <v>46251</v>
      </c>
      <c r="U1" s="13" t="n">
        <v>46252</v>
      </c>
      <c r="V1" s="14" t="n">
        <v>46253</v>
      </c>
      <c r="W1" s="15" t="n">
        <v>46254</v>
      </c>
      <c r="X1" s="16" t="n">
        <v>46255</v>
      </c>
      <c r="Y1" s="10" t="n">
        <v>46256</v>
      </c>
      <c r="Z1" s="11" t="n">
        <v>46257</v>
      </c>
      <c r="AA1" s="12" t="n">
        <v>46258</v>
      </c>
      <c r="AB1" s="13" t="n">
        <v>46259</v>
      </c>
      <c r="AC1" s="14" t="n">
        <v>46260</v>
      </c>
      <c r="AD1" s="15" t="n">
        <v>46261</v>
      </c>
      <c r="AE1" s="16" t="n">
        <v>46262</v>
      </c>
      <c r="AF1" s="10" t="n">
        <v>46263</v>
      </c>
      <c r="AG1" s="11" t="n">
        <v>46264</v>
      </c>
      <c r="AH1" s="12" t="n">
        <v>46265</v>
      </c>
      <c r="AI1" s="4" t="s">
        <v>33</v>
      </c>
    </row>
    <row r="2" customFormat="false" ht="17.15" hidden="false" customHeight="false" outlineLevel="0" collapsed="false">
      <c r="A2" s="8" t="s">
        <v>46</v>
      </c>
      <c r="B2" s="0" t="s">
        <v>22</v>
      </c>
      <c r="C2" s="8" t="s">
        <v>47</v>
      </c>
      <c r="D2" s="17" t="s">
        <v>48</v>
      </c>
      <c r="E2" s="18" t="s">
        <v>49</v>
      </c>
      <c r="F2" s="19" t="s">
        <v>50</v>
      </c>
      <c r="G2" s="20" t="s">
        <v>51</v>
      </c>
      <c r="H2" s="21" t="s">
        <v>52</v>
      </c>
      <c r="I2" s="17" t="s">
        <v>48</v>
      </c>
      <c r="J2" s="18" t="s">
        <v>49</v>
      </c>
      <c r="K2" s="19" t="s">
        <v>50</v>
      </c>
      <c r="L2" s="20" t="s">
        <v>51</v>
      </c>
      <c r="M2" s="21" t="s">
        <v>52</v>
      </c>
      <c r="N2" s="17" t="s">
        <v>48</v>
      </c>
      <c r="O2" s="18" t="s">
        <v>49</v>
      </c>
      <c r="P2" s="19" t="s">
        <v>50</v>
      </c>
      <c r="Q2" s="20" t="s">
        <v>51</v>
      </c>
      <c r="R2" s="21" t="s">
        <v>52</v>
      </c>
      <c r="S2" s="17" t="s">
        <v>48</v>
      </c>
      <c r="T2" s="18" t="s">
        <v>49</v>
      </c>
      <c r="U2" s="19" t="s">
        <v>50</v>
      </c>
      <c r="V2" s="20" t="s">
        <v>51</v>
      </c>
      <c r="W2" s="21" t="s">
        <v>52</v>
      </c>
      <c r="X2" s="17" t="s">
        <v>48</v>
      </c>
      <c r="Y2" s="18" t="s">
        <v>49</v>
      </c>
      <c r="Z2" s="19" t="s">
        <v>50</v>
      </c>
      <c r="AA2" s="20" t="s">
        <v>51</v>
      </c>
      <c r="AB2" s="21" t="s">
        <v>52</v>
      </c>
      <c r="AC2" s="17" t="s">
        <v>48</v>
      </c>
      <c r="AD2" s="18" t="s">
        <v>49</v>
      </c>
      <c r="AE2" s="19" t="s">
        <v>50</v>
      </c>
      <c r="AF2" s="20" t="s">
        <v>51</v>
      </c>
      <c r="AG2" s="21" t="s">
        <v>52</v>
      </c>
      <c r="AH2" s="17" t="s">
        <v>48</v>
      </c>
      <c r="AI2" s="6" t="n">
        <f aca="false">COUNTIF(D2:AH2,"早A")</f>
        <v>7</v>
      </c>
    </row>
    <row r="3" customFormat="false" ht="17.15" hidden="false" customHeight="false" outlineLevel="0" collapsed="false">
      <c r="A3" s="8" t="s">
        <v>53</v>
      </c>
      <c r="B3" s="0" t="s">
        <v>23</v>
      </c>
      <c r="C3" s="8" t="s">
        <v>47</v>
      </c>
      <c r="D3" s="18" t="s">
        <v>49</v>
      </c>
      <c r="E3" s="19" t="s">
        <v>50</v>
      </c>
      <c r="F3" s="20" t="s">
        <v>51</v>
      </c>
      <c r="G3" s="21" t="s">
        <v>52</v>
      </c>
      <c r="H3" s="17" t="s">
        <v>48</v>
      </c>
      <c r="I3" s="18" t="s">
        <v>49</v>
      </c>
      <c r="J3" s="19" t="s">
        <v>50</v>
      </c>
      <c r="K3" s="20" t="s">
        <v>51</v>
      </c>
      <c r="L3" s="21" t="s">
        <v>52</v>
      </c>
      <c r="M3" s="17" t="s">
        <v>48</v>
      </c>
      <c r="N3" s="18" t="s">
        <v>49</v>
      </c>
      <c r="O3" s="19" t="s">
        <v>50</v>
      </c>
      <c r="P3" s="20" t="s">
        <v>51</v>
      </c>
      <c r="Q3" s="21" t="s">
        <v>52</v>
      </c>
      <c r="R3" s="17" t="s">
        <v>48</v>
      </c>
      <c r="S3" s="18" t="s">
        <v>49</v>
      </c>
      <c r="T3" s="19" t="s">
        <v>50</v>
      </c>
      <c r="U3" s="20" t="s">
        <v>51</v>
      </c>
      <c r="V3" s="21" t="s">
        <v>52</v>
      </c>
      <c r="W3" s="17" t="s">
        <v>48</v>
      </c>
      <c r="X3" s="18" t="s">
        <v>49</v>
      </c>
      <c r="Y3" s="19" t="s">
        <v>50</v>
      </c>
      <c r="Z3" s="20" t="s">
        <v>51</v>
      </c>
      <c r="AA3" s="21" t="s">
        <v>52</v>
      </c>
      <c r="AB3" s="17" t="s">
        <v>48</v>
      </c>
      <c r="AC3" s="18" t="s">
        <v>49</v>
      </c>
      <c r="AD3" s="19" t="s">
        <v>50</v>
      </c>
      <c r="AE3" s="20" t="s">
        <v>51</v>
      </c>
      <c r="AF3" s="21" t="s">
        <v>52</v>
      </c>
      <c r="AG3" s="17" t="s">
        <v>48</v>
      </c>
      <c r="AH3" s="18" t="s">
        <v>49</v>
      </c>
      <c r="AI3" s="6" t="n">
        <f aca="false">COUNTIF(D3:AH3,"早A")</f>
        <v>6</v>
      </c>
    </row>
    <row r="4" customFormat="false" ht="17.15" hidden="false" customHeight="false" outlineLevel="0" collapsed="false">
      <c r="A4" s="8" t="s">
        <v>54</v>
      </c>
      <c r="B4" s="0" t="s">
        <v>24</v>
      </c>
      <c r="C4" s="8" t="s">
        <v>47</v>
      </c>
      <c r="D4" s="19" t="s">
        <v>50</v>
      </c>
      <c r="E4" s="20" t="s">
        <v>51</v>
      </c>
      <c r="F4" s="21" t="s">
        <v>52</v>
      </c>
      <c r="G4" s="17" t="s">
        <v>48</v>
      </c>
      <c r="H4" s="18" t="s">
        <v>49</v>
      </c>
      <c r="I4" s="19" t="s">
        <v>50</v>
      </c>
      <c r="J4" s="20" t="s">
        <v>51</v>
      </c>
      <c r="K4" s="21" t="s">
        <v>52</v>
      </c>
      <c r="L4" s="17" t="s">
        <v>48</v>
      </c>
      <c r="M4" s="18" t="s">
        <v>49</v>
      </c>
      <c r="N4" s="19" t="s">
        <v>50</v>
      </c>
      <c r="O4" s="20" t="s">
        <v>51</v>
      </c>
      <c r="P4" s="21" t="s">
        <v>52</v>
      </c>
      <c r="Q4" s="17" t="s">
        <v>48</v>
      </c>
      <c r="R4" s="18" t="s">
        <v>49</v>
      </c>
      <c r="S4" s="19" t="s">
        <v>50</v>
      </c>
      <c r="T4" s="20" t="s">
        <v>51</v>
      </c>
      <c r="U4" s="21" t="s">
        <v>52</v>
      </c>
      <c r="V4" s="17" t="s">
        <v>48</v>
      </c>
      <c r="W4" s="18" t="s">
        <v>49</v>
      </c>
      <c r="X4" s="19" t="s">
        <v>50</v>
      </c>
      <c r="Y4" s="20" t="s">
        <v>51</v>
      </c>
      <c r="Z4" s="21" t="s">
        <v>52</v>
      </c>
      <c r="AA4" s="17" t="s">
        <v>48</v>
      </c>
      <c r="AB4" s="18" t="s">
        <v>49</v>
      </c>
      <c r="AC4" s="19" t="s">
        <v>50</v>
      </c>
      <c r="AD4" s="20" t="s">
        <v>51</v>
      </c>
      <c r="AE4" s="21" t="s">
        <v>52</v>
      </c>
      <c r="AF4" s="17" t="s">
        <v>48</v>
      </c>
      <c r="AG4" s="18" t="s">
        <v>49</v>
      </c>
      <c r="AH4" s="19" t="s">
        <v>50</v>
      </c>
      <c r="AI4" s="6" t="n">
        <f aca="false">COUNTIF(D4:AH4,"早A")</f>
        <v>6</v>
      </c>
    </row>
    <row r="5" customFormat="false" ht="17.15" hidden="false" customHeight="false" outlineLevel="0" collapsed="false">
      <c r="A5" s="8" t="s">
        <v>55</v>
      </c>
      <c r="B5" s="0" t="s">
        <v>22</v>
      </c>
      <c r="C5" s="8" t="s">
        <v>56</v>
      </c>
      <c r="D5" s="17" t="s">
        <v>48</v>
      </c>
      <c r="E5" s="18" t="s">
        <v>49</v>
      </c>
      <c r="F5" s="19" t="s">
        <v>50</v>
      </c>
      <c r="G5" s="20" t="s">
        <v>51</v>
      </c>
      <c r="H5" s="21" t="s">
        <v>52</v>
      </c>
      <c r="I5" s="17" t="s">
        <v>48</v>
      </c>
      <c r="J5" s="18" t="s">
        <v>49</v>
      </c>
      <c r="K5" s="19" t="s">
        <v>50</v>
      </c>
      <c r="L5" s="20" t="s">
        <v>51</v>
      </c>
      <c r="M5" s="22" t="s">
        <v>52</v>
      </c>
      <c r="N5" s="23" t="s">
        <v>48</v>
      </c>
      <c r="O5" s="18" t="s">
        <v>49</v>
      </c>
      <c r="P5" s="19" t="s">
        <v>50</v>
      </c>
      <c r="Q5" s="20" t="s">
        <v>51</v>
      </c>
      <c r="R5" s="21" t="s">
        <v>52</v>
      </c>
      <c r="S5" s="17" t="s">
        <v>48</v>
      </c>
      <c r="T5" s="18" t="s">
        <v>49</v>
      </c>
      <c r="U5" s="19" t="s">
        <v>50</v>
      </c>
      <c r="V5" s="20" t="s">
        <v>51</v>
      </c>
      <c r="W5" s="21" t="s">
        <v>52</v>
      </c>
      <c r="X5" s="17" t="s">
        <v>48</v>
      </c>
      <c r="Y5" s="18" t="s">
        <v>49</v>
      </c>
      <c r="Z5" s="19" t="s">
        <v>50</v>
      </c>
      <c r="AA5" s="20" t="s">
        <v>51</v>
      </c>
      <c r="AB5" s="21" t="s">
        <v>52</v>
      </c>
      <c r="AC5" s="17" t="s">
        <v>48</v>
      </c>
      <c r="AD5" s="18" t="s">
        <v>49</v>
      </c>
      <c r="AE5" s="19" t="s">
        <v>50</v>
      </c>
      <c r="AF5" s="20" t="s">
        <v>51</v>
      </c>
      <c r="AG5" s="21" t="s">
        <v>52</v>
      </c>
      <c r="AH5" s="17" t="s">
        <v>48</v>
      </c>
      <c r="AI5" s="6" t="n">
        <f aca="false">COUNTIF(D5:AH5,"早A")</f>
        <v>7</v>
      </c>
    </row>
    <row r="6" customFormat="false" ht="17.15" hidden="false" customHeight="false" outlineLevel="0" collapsed="false">
      <c r="A6" s="8" t="s">
        <v>57</v>
      </c>
      <c r="B6" s="0" t="s">
        <v>23</v>
      </c>
      <c r="C6" s="8" t="s">
        <v>56</v>
      </c>
      <c r="D6" s="18" t="s">
        <v>49</v>
      </c>
      <c r="E6" s="19" t="s">
        <v>50</v>
      </c>
      <c r="F6" s="20" t="s">
        <v>51</v>
      </c>
      <c r="G6" s="21" t="s">
        <v>52</v>
      </c>
      <c r="H6" s="17" t="s">
        <v>48</v>
      </c>
      <c r="I6" s="18" t="s">
        <v>49</v>
      </c>
      <c r="J6" s="19" t="s">
        <v>50</v>
      </c>
      <c r="K6" s="20" t="s">
        <v>51</v>
      </c>
      <c r="L6" s="21" t="s">
        <v>52</v>
      </c>
      <c r="M6" s="17" t="s">
        <v>48</v>
      </c>
      <c r="N6" s="18" t="s">
        <v>49</v>
      </c>
      <c r="O6" s="19" t="s">
        <v>50</v>
      </c>
      <c r="P6" s="20" t="s">
        <v>51</v>
      </c>
      <c r="Q6" s="21" t="s">
        <v>52</v>
      </c>
      <c r="R6" s="17" t="s">
        <v>48</v>
      </c>
      <c r="S6" s="18" t="s">
        <v>49</v>
      </c>
      <c r="T6" s="19" t="s">
        <v>50</v>
      </c>
      <c r="U6" s="20" t="s">
        <v>51</v>
      </c>
      <c r="V6" s="21" t="s">
        <v>52</v>
      </c>
      <c r="W6" s="17" t="s">
        <v>48</v>
      </c>
      <c r="X6" s="18" t="s">
        <v>49</v>
      </c>
      <c r="Y6" s="19" t="s">
        <v>50</v>
      </c>
      <c r="Z6" s="20" t="s">
        <v>51</v>
      </c>
      <c r="AA6" s="21" t="s">
        <v>52</v>
      </c>
      <c r="AB6" s="17" t="s">
        <v>48</v>
      </c>
      <c r="AC6" s="18" t="s">
        <v>49</v>
      </c>
      <c r="AD6" s="19" t="s">
        <v>50</v>
      </c>
      <c r="AE6" s="20" t="s">
        <v>51</v>
      </c>
      <c r="AF6" s="21" t="s">
        <v>52</v>
      </c>
      <c r="AG6" s="17" t="s">
        <v>48</v>
      </c>
      <c r="AH6" s="18" t="s">
        <v>49</v>
      </c>
      <c r="AI6" s="6" t="n">
        <f aca="false">COUNTIF(D6:AH6,"早A")</f>
        <v>6</v>
      </c>
    </row>
    <row r="7" customFormat="false" ht="17.15" hidden="false" customHeight="false" outlineLevel="0" collapsed="false">
      <c r="A7" s="8" t="s">
        <v>58</v>
      </c>
      <c r="B7" s="0" t="s">
        <v>24</v>
      </c>
      <c r="C7" s="8" t="s">
        <v>56</v>
      </c>
      <c r="D7" s="19" t="s">
        <v>50</v>
      </c>
      <c r="E7" s="20" t="s">
        <v>51</v>
      </c>
      <c r="F7" s="21" t="s">
        <v>52</v>
      </c>
      <c r="G7" s="17" t="s">
        <v>48</v>
      </c>
      <c r="H7" s="18" t="s">
        <v>49</v>
      </c>
      <c r="I7" s="19" t="s">
        <v>50</v>
      </c>
      <c r="J7" s="20" t="s">
        <v>51</v>
      </c>
      <c r="K7" s="21" t="s">
        <v>52</v>
      </c>
      <c r="L7" s="17" t="s">
        <v>48</v>
      </c>
      <c r="M7" s="18" t="s">
        <v>49</v>
      </c>
      <c r="N7" s="19" t="s">
        <v>50</v>
      </c>
      <c r="O7" s="20" t="s">
        <v>51</v>
      </c>
      <c r="P7" s="21" t="s">
        <v>52</v>
      </c>
      <c r="Q7" s="17" t="s">
        <v>48</v>
      </c>
      <c r="R7" s="18" t="s">
        <v>49</v>
      </c>
      <c r="S7" s="19" t="s">
        <v>50</v>
      </c>
      <c r="T7" s="20" t="s">
        <v>51</v>
      </c>
      <c r="U7" s="21" t="s">
        <v>52</v>
      </c>
      <c r="V7" s="17" t="s">
        <v>48</v>
      </c>
      <c r="W7" s="18" t="s">
        <v>49</v>
      </c>
      <c r="X7" s="19" t="s">
        <v>50</v>
      </c>
      <c r="Y7" s="20" t="s">
        <v>51</v>
      </c>
      <c r="Z7" s="21" t="s">
        <v>52</v>
      </c>
      <c r="AA7" s="17" t="s">
        <v>48</v>
      </c>
      <c r="AB7" s="18" t="s">
        <v>49</v>
      </c>
      <c r="AC7" s="19" t="s">
        <v>50</v>
      </c>
      <c r="AD7" s="20" t="s">
        <v>51</v>
      </c>
      <c r="AE7" s="21" t="s">
        <v>52</v>
      </c>
      <c r="AF7" s="17" t="s">
        <v>48</v>
      </c>
      <c r="AG7" s="18" t="s">
        <v>49</v>
      </c>
      <c r="AH7" s="19" t="s">
        <v>50</v>
      </c>
      <c r="AI7" s="6" t="n">
        <f aca="false">COUNTIF(D7:AH7,"早A")</f>
        <v>6</v>
      </c>
    </row>
    <row r="8" customFormat="false" ht="17.15" hidden="false" customHeight="false" outlineLevel="0" collapsed="false">
      <c r="A8" s="8" t="s">
        <v>59</v>
      </c>
      <c r="B8" s="0" t="s">
        <v>25</v>
      </c>
      <c r="C8" s="8" t="s">
        <v>56</v>
      </c>
      <c r="D8" s="20" t="s">
        <v>51</v>
      </c>
      <c r="E8" s="21" t="s">
        <v>52</v>
      </c>
      <c r="F8" s="17" t="s">
        <v>48</v>
      </c>
      <c r="G8" s="18" t="s">
        <v>49</v>
      </c>
      <c r="H8" s="19" t="s">
        <v>50</v>
      </c>
      <c r="I8" s="20" t="s">
        <v>51</v>
      </c>
      <c r="J8" s="21" t="s">
        <v>52</v>
      </c>
      <c r="K8" s="17" t="s">
        <v>48</v>
      </c>
      <c r="L8" s="18" t="s">
        <v>49</v>
      </c>
      <c r="M8" s="19" t="s">
        <v>50</v>
      </c>
      <c r="N8" s="20" t="s">
        <v>51</v>
      </c>
      <c r="O8" s="21" t="s">
        <v>52</v>
      </c>
      <c r="P8" s="17" t="s">
        <v>48</v>
      </c>
      <c r="Q8" s="18" t="s">
        <v>49</v>
      </c>
      <c r="R8" s="19" t="s">
        <v>50</v>
      </c>
      <c r="S8" s="20" t="s">
        <v>51</v>
      </c>
      <c r="T8" s="21" t="s">
        <v>52</v>
      </c>
      <c r="U8" s="17" t="s">
        <v>48</v>
      </c>
      <c r="V8" s="18" t="s">
        <v>49</v>
      </c>
      <c r="W8" s="19" t="s">
        <v>50</v>
      </c>
      <c r="X8" s="20" t="s">
        <v>51</v>
      </c>
      <c r="Y8" s="21" t="s">
        <v>52</v>
      </c>
      <c r="Z8" s="17" t="s">
        <v>48</v>
      </c>
      <c r="AA8" s="18" t="s">
        <v>49</v>
      </c>
      <c r="AB8" s="19" t="s">
        <v>50</v>
      </c>
      <c r="AC8" s="20" t="s">
        <v>51</v>
      </c>
      <c r="AD8" s="21" t="s">
        <v>52</v>
      </c>
      <c r="AE8" s="17" t="s">
        <v>48</v>
      </c>
      <c r="AF8" s="18" t="s">
        <v>49</v>
      </c>
      <c r="AG8" s="19" t="s">
        <v>50</v>
      </c>
      <c r="AH8" s="20" t="s">
        <v>51</v>
      </c>
      <c r="AI8" s="6" t="n">
        <f aca="false">COUNTIF(D8:AH8,"早A")</f>
        <v>6</v>
      </c>
    </row>
    <row r="9" customFormat="false" ht="17.15" hidden="false" customHeight="false" outlineLevel="0" collapsed="false">
      <c r="A9" s="8" t="s">
        <v>60</v>
      </c>
      <c r="B9" s="0" t="s">
        <v>22</v>
      </c>
      <c r="C9" s="8" t="s">
        <v>61</v>
      </c>
      <c r="D9" s="17" t="s">
        <v>48</v>
      </c>
      <c r="E9" s="18" t="s">
        <v>49</v>
      </c>
      <c r="F9" s="19" t="s">
        <v>50</v>
      </c>
      <c r="G9" s="20" t="s">
        <v>51</v>
      </c>
      <c r="H9" s="21" t="s">
        <v>52</v>
      </c>
      <c r="I9" s="17" t="s">
        <v>48</v>
      </c>
      <c r="J9" s="18" t="s">
        <v>49</v>
      </c>
      <c r="K9" s="19" t="s">
        <v>50</v>
      </c>
      <c r="L9" s="20" t="s">
        <v>51</v>
      </c>
      <c r="M9" s="21" t="s">
        <v>52</v>
      </c>
      <c r="N9" s="17" t="s">
        <v>48</v>
      </c>
      <c r="O9" s="18" t="s">
        <v>49</v>
      </c>
      <c r="P9" s="19" t="s">
        <v>50</v>
      </c>
      <c r="Q9" s="20" t="s">
        <v>51</v>
      </c>
      <c r="R9" s="21" t="s">
        <v>52</v>
      </c>
      <c r="S9" s="17" t="s">
        <v>48</v>
      </c>
      <c r="T9" s="18" t="s">
        <v>49</v>
      </c>
      <c r="U9" s="19" t="s">
        <v>50</v>
      </c>
      <c r="V9" s="20" t="s">
        <v>51</v>
      </c>
      <c r="W9" s="21" t="s">
        <v>52</v>
      </c>
      <c r="X9" s="17" t="s">
        <v>48</v>
      </c>
      <c r="Y9" s="18" t="s">
        <v>49</v>
      </c>
      <c r="Z9" s="19" t="s">
        <v>50</v>
      </c>
      <c r="AA9" s="20" t="s">
        <v>51</v>
      </c>
      <c r="AB9" s="21" t="s">
        <v>52</v>
      </c>
      <c r="AC9" s="17" t="s">
        <v>48</v>
      </c>
      <c r="AD9" s="18" t="s">
        <v>49</v>
      </c>
      <c r="AE9" s="19" t="s">
        <v>50</v>
      </c>
      <c r="AF9" s="20" t="s">
        <v>51</v>
      </c>
      <c r="AG9" s="21" t="s">
        <v>52</v>
      </c>
      <c r="AH9" s="17" t="s">
        <v>48</v>
      </c>
      <c r="AI9" s="6" t="n">
        <f aca="false">COUNTIF(D9:AH9,"早A")</f>
        <v>7</v>
      </c>
    </row>
    <row r="10" customFormat="false" ht="17.15" hidden="false" customHeight="false" outlineLevel="0" collapsed="false">
      <c r="A10" s="8" t="s">
        <v>62</v>
      </c>
      <c r="B10" s="0" t="s">
        <v>24</v>
      </c>
      <c r="C10" s="8" t="s">
        <v>61</v>
      </c>
      <c r="D10" s="19" t="s">
        <v>50</v>
      </c>
      <c r="E10" s="20" t="s">
        <v>51</v>
      </c>
      <c r="F10" s="21" t="s">
        <v>52</v>
      </c>
      <c r="G10" s="17" t="s">
        <v>48</v>
      </c>
      <c r="H10" s="18" t="s">
        <v>49</v>
      </c>
      <c r="I10" s="19" t="s">
        <v>50</v>
      </c>
      <c r="J10" s="20" t="s">
        <v>51</v>
      </c>
      <c r="K10" s="21" t="s">
        <v>52</v>
      </c>
      <c r="L10" s="17" t="s">
        <v>48</v>
      </c>
      <c r="M10" s="18" t="s">
        <v>49</v>
      </c>
      <c r="N10" s="19" t="s">
        <v>50</v>
      </c>
      <c r="O10" s="20" t="s">
        <v>51</v>
      </c>
      <c r="P10" s="21" t="s">
        <v>52</v>
      </c>
      <c r="Q10" s="17" t="s">
        <v>48</v>
      </c>
      <c r="R10" s="24" t="s">
        <v>49</v>
      </c>
      <c r="S10" s="25" t="s">
        <v>50</v>
      </c>
      <c r="T10" s="26" t="s">
        <v>51</v>
      </c>
      <c r="U10" s="21" t="s">
        <v>52</v>
      </c>
      <c r="V10" s="17" t="s">
        <v>48</v>
      </c>
      <c r="W10" s="18" t="s">
        <v>49</v>
      </c>
      <c r="X10" s="19" t="s">
        <v>50</v>
      </c>
      <c r="Y10" s="20" t="s">
        <v>51</v>
      </c>
      <c r="Z10" s="21" t="s">
        <v>52</v>
      </c>
      <c r="AA10" s="17" t="s">
        <v>48</v>
      </c>
      <c r="AB10" s="18" t="s">
        <v>49</v>
      </c>
      <c r="AC10" s="19" t="s">
        <v>50</v>
      </c>
      <c r="AD10" s="20" t="s">
        <v>51</v>
      </c>
      <c r="AE10" s="21" t="s">
        <v>52</v>
      </c>
      <c r="AF10" s="17" t="s">
        <v>48</v>
      </c>
      <c r="AG10" s="18" t="s">
        <v>49</v>
      </c>
      <c r="AH10" s="19" t="s">
        <v>50</v>
      </c>
      <c r="AI10" s="6" t="n">
        <f aca="false">COUNTIF(D10:AH10,"早A")</f>
        <v>6</v>
      </c>
    </row>
    <row r="11" customFormat="false" ht="17.15" hidden="false" customHeight="false" outlineLevel="0" collapsed="false">
      <c r="A11" s="8" t="s">
        <v>63</v>
      </c>
      <c r="B11" s="0" t="s">
        <v>25</v>
      </c>
      <c r="C11" s="8" t="s">
        <v>64</v>
      </c>
      <c r="D11" s="20" t="s">
        <v>51</v>
      </c>
      <c r="E11" s="21" t="s">
        <v>52</v>
      </c>
      <c r="F11" s="17" t="s">
        <v>48</v>
      </c>
      <c r="G11" s="18" t="s">
        <v>49</v>
      </c>
      <c r="H11" s="19" t="s">
        <v>50</v>
      </c>
      <c r="I11" s="20" t="s">
        <v>51</v>
      </c>
      <c r="J11" s="21" t="s">
        <v>52</v>
      </c>
      <c r="K11" s="17" t="s">
        <v>48</v>
      </c>
      <c r="L11" s="18" t="s">
        <v>49</v>
      </c>
      <c r="M11" s="19" t="s">
        <v>50</v>
      </c>
      <c r="N11" s="20" t="s">
        <v>51</v>
      </c>
      <c r="O11" s="21" t="s">
        <v>52</v>
      </c>
      <c r="P11" s="17" t="s">
        <v>48</v>
      </c>
      <c r="Q11" s="18" t="s">
        <v>49</v>
      </c>
      <c r="R11" s="19" t="s">
        <v>50</v>
      </c>
      <c r="S11" s="20" t="s">
        <v>51</v>
      </c>
      <c r="T11" s="21" t="s">
        <v>52</v>
      </c>
      <c r="U11" s="17" t="s">
        <v>48</v>
      </c>
      <c r="V11" s="18" t="s">
        <v>49</v>
      </c>
      <c r="W11" s="19" t="s">
        <v>50</v>
      </c>
      <c r="X11" s="20" t="s">
        <v>51</v>
      </c>
      <c r="Y11" s="21" t="s">
        <v>52</v>
      </c>
      <c r="Z11" s="17" t="s">
        <v>48</v>
      </c>
      <c r="AA11" s="18" t="s">
        <v>49</v>
      </c>
      <c r="AB11" s="19" t="s">
        <v>50</v>
      </c>
      <c r="AC11" s="20" t="s">
        <v>51</v>
      </c>
      <c r="AD11" s="21" t="s">
        <v>52</v>
      </c>
      <c r="AE11" s="17" t="s">
        <v>48</v>
      </c>
      <c r="AF11" s="18" t="s">
        <v>49</v>
      </c>
      <c r="AG11" s="19" t="s">
        <v>50</v>
      </c>
      <c r="AH11" s="20" t="s">
        <v>51</v>
      </c>
      <c r="AI11" s="6" t="n">
        <f aca="false">COUNTIF(D11:AH11,"早A")</f>
        <v>6</v>
      </c>
    </row>
    <row r="12" customFormat="false" ht="17.15" hidden="false" customHeight="false" outlineLevel="0" collapsed="false">
      <c r="A12" s="8" t="s">
        <v>65</v>
      </c>
      <c r="B12" s="0" t="s">
        <v>26</v>
      </c>
      <c r="C12" s="8" t="s">
        <v>64</v>
      </c>
      <c r="D12" s="21" t="s">
        <v>52</v>
      </c>
      <c r="E12" s="17" t="s">
        <v>48</v>
      </c>
      <c r="F12" s="18" t="s">
        <v>49</v>
      </c>
      <c r="G12" s="19" t="s">
        <v>50</v>
      </c>
      <c r="H12" s="20" t="s">
        <v>51</v>
      </c>
      <c r="I12" s="21" t="s">
        <v>52</v>
      </c>
      <c r="J12" s="17" t="s">
        <v>48</v>
      </c>
      <c r="K12" s="18" t="s">
        <v>49</v>
      </c>
      <c r="L12" s="19" t="s">
        <v>50</v>
      </c>
      <c r="M12" s="20" t="s">
        <v>51</v>
      </c>
      <c r="N12" s="21" t="s">
        <v>52</v>
      </c>
      <c r="O12" s="17" t="s">
        <v>48</v>
      </c>
      <c r="P12" s="18" t="s">
        <v>49</v>
      </c>
      <c r="Q12" s="19" t="s">
        <v>50</v>
      </c>
      <c r="R12" s="20" t="s">
        <v>51</v>
      </c>
      <c r="S12" s="21" t="s">
        <v>52</v>
      </c>
      <c r="T12" s="17" t="s">
        <v>48</v>
      </c>
      <c r="U12" s="18" t="s">
        <v>49</v>
      </c>
      <c r="V12" s="19" t="s">
        <v>50</v>
      </c>
      <c r="W12" s="20" t="s">
        <v>51</v>
      </c>
      <c r="X12" s="21" t="s">
        <v>52</v>
      </c>
      <c r="Y12" s="17" t="s">
        <v>48</v>
      </c>
      <c r="Z12" s="18" t="s">
        <v>49</v>
      </c>
      <c r="AA12" s="19" t="s">
        <v>50</v>
      </c>
      <c r="AB12" s="20" t="s">
        <v>51</v>
      </c>
      <c r="AC12" s="21" t="s">
        <v>52</v>
      </c>
      <c r="AD12" s="17" t="s">
        <v>48</v>
      </c>
      <c r="AE12" s="18" t="s">
        <v>49</v>
      </c>
      <c r="AF12" s="19" t="s">
        <v>50</v>
      </c>
      <c r="AG12" s="20" t="s">
        <v>51</v>
      </c>
      <c r="AH12" s="21" t="s">
        <v>52</v>
      </c>
      <c r="AI12" s="6" t="n">
        <f aca="false">COUNTIF(D12:AH12,"早A")</f>
        <v>6</v>
      </c>
    </row>
    <row r="13" customFormat="false" ht="17.15" hidden="false" customHeight="false" outlineLevel="0" collapsed="false">
      <c r="A13" s="8" t="s">
        <v>66</v>
      </c>
      <c r="B13" s="0" t="s">
        <v>23</v>
      </c>
      <c r="C13" s="8" t="s">
        <v>67</v>
      </c>
      <c r="D13" s="18" t="s">
        <v>49</v>
      </c>
      <c r="E13" s="19" t="s">
        <v>50</v>
      </c>
      <c r="F13" s="20" t="s">
        <v>51</v>
      </c>
      <c r="G13" s="21" t="s">
        <v>52</v>
      </c>
      <c r="H13" s="17" t="s">
        <v>48</v>
      </c>
      <c r="I13" s="18" t="s">
        <v>49</v>
      </c>
      <c r="J13" s="19" t="s">
        <v>50</v>
      </c>
      <c r="K13" s="20" t="s">
        <v>51</v>
      </c>
      <c r="L13" s="21" t="s">
        <v>52</v>
      </c>
      <c r="M13" s="17" t="s">
        <v>48</v>
      </c>
      <c r="N13" s="18" t="s">
        <v>49</v>
      </c>
      <c r="O13" s="19" t="s">
        <v>50</v>
      </c>
      <c r="P13" s="20" t="s">
        <v>51</v>
      </c>
      <c r="Q13" s="21" t="s">
        <v>52</v>
      </c>
      <c r="R13" s="17" t="s">
        <v>48</v>
      </c>
      <c r="S13" s="18" t="s">
        <v>49</v>
      </c>
      <c r="T13" s="19" t="s">
        <v>50</v>
      </c>
      <c r="U13" s="20" t="s">
        <v>51</v>
      </c>
      <c r="V13" s="21" t="s">
        <v>52</v>
      </c>
      <c r="W13" s="23" t="s">
        <v>48</v>
      </c>
      <c r="X13" s="18" t="s">
        <v>49</v>
      </c>
      <c r="Y13" s="19" t="s">
        <v>50</v>
      </c>
      <c r="Z13" s="20" t="s">
        <v>51</v>
      </c>
      <c r="AA13" s="21" t="s">
        <v>52</v>
      </c>
      <c r="AB13" s="17" t="s">
        <v>48</v>
      </c>
      <c r="AC13" s="18" t="s">
        <v>49</v>
      </c>
      <c r="AD13" s="19" t="s">
        <v>50</v>
      </c>
      <c r="AE13" s="20" t="s">
        <v>51</v>
      </c>
      <c r="AF13" s="21" t="s">
        <v>52</v>
      </c>
      <c r="AG13" s="17" t="s">
        <v>48</v>
      </c>
      <c r="AH13" s="18" t="s">
        <v>49</v>
      </c>
      <c r="AI13" s="6" t="n">
        <f aca="false">COUNTIF(D13:AH13,"早A")</f>
        <v>6</v>
      </c>
    </row>
    <row r="14" customFormat="false" ht="17.15" hidden="false" customHeight="false" outlineLevel="0" collapsed="false">
      <c r="A14" s="8" t="s">
        <v>68</v>
      </c>
      <c r="B14" s="0" t="s">
        <v>25</v>
      </c>
      <c r="C14" s="8" t="s">
        <v>67</v>
      </c>
      <c r="D14" s="20" t="s">
        <v>51</v>
      </c>
      <c r="E14" s="21" t="s">
        <v>52</v>
      </c>
      <c r="F14" s="17" t="s">
        <v>48</v>
      </c>
      <c r="G14" s="18" t="s">
        <v>49</v>
      </c>
      <c r="H14" s="19" t="s">
        <v>50</v>
      </c>
      <c r="I14" s="20" t="s">
        <v>51</v>
      </c>
      <c r="J14" s="21" t="s">
        <v>52</v>
      </c>
      <c r="K14" s="17" t="s">
        <v>48</v>
      </c>
      <c r="L14" s="18" t="s">
        <v>49</v>
      </c>
      <c r="M14" s="19" t="s">
        <v>50</v>
      </c>
      <c r="N14" s="20" t="s">
        <v>51</v>
      </c>
      <c r="O14" s="21" t="s">
        <v>52</v>
      </c>
      <c r="P14" s="17" t="s">
        <v>48</v>
      </c>
      <c r="Q14" s="18" t="s">
        <v>49</v>
      </c>
      <c r="R14" s="19" t="s">
        <v>50</v>
      </c>
      <c r="S14" s="20" t="s">
        <v>51</v>
      </c>
      <c r="T14" s="21" t="s">
        <v>52</v>
      </c>
      <c r="U14" s="17" t="s">
        <v>48</v>
      </c>
      <c r="V14" s="18" t="s">
        <v>49</v>
      </c>
      <c r="W14" s="19" t="s">
        <v>50</v>
      </c>
      <c r="X14" s="20" t="s">
        <v>51</v>
      </c>
      <c r="Y14" s="21" t="s">
        <v>52</v>
      </c>
      <c r="Z14" s="17" t="s">
        <v>48</v>
      </c>
      <c r="AA14" s="18" t="s">
        <v>49</v>
      </c>
      <c r="AB14" s="19" t="s">
        <v>50</v>
      </c>
      <c r="AC14" s="20" t="s">
        <v>51</v>
      </c>
      <c r="AD14" s="21" t="s">
        <v>52</v>
      </c>
      <c r="AE14" s="17" t="s">
        <v>48</v>
      </c>
      <c r="AF14" s="18" t="s">
        <v>49</v>
      </c>
      <c r="AG14" s="19" t="s">
        <v>50</v>
      </c>
      <c r="AH14" s="20" t="s">
        <v>51</v>
      </c>
      <c r="AI14" s="6" t="n">
        <f aca="false">COUNTIF(D14:AH14,"早A")</f>
        <v>6</v>
      </c>
    </row>
    <row r="15" customFormat="false" ht="17.15" hidden="false" customHeight="false" outlineLevel="0" collapsed="false">
      <c r="A15" s="8" t="s">
        <v>69</v>
      </c>
      <c r="B15" s="0" t="s">
        <v>26</v>
      </c>
      <c r="C15" s="8" t="s">
        <v>56</v>
      </c>
      <c r="D15" s="21" t="s">
        <v>52</v>
      </c>
      <c r="E15" s="17" t="s">
        <v>48</v>
      </c>
      <c r="F15" s="18" t="s">
        <v>49</v>
      </c>
      <c r="G15" s="19" t="s">
        <v>50</v>
      </c>
      <c r="H15" s="20" t="s">
        <v>51</v>
      </c>
      <c r="I15" s="21" t="s">
        <v>52</v>
      </c>
      <c r="J15" s="17" t="s">
        <v>48</v>
      </c>
      <c r="K15" s="18" t="s">
        <v>49</v>
      </c>
      <c r="L15" s="19" t="s">
        <v>50</v>
      </c>
      <c r="M15" s="20" t="s">
        <v>51</v>
      </c>
      <c r="N15" s="21" t="s">
        <v>52</v>
      </c>
      <c r="O15" s="17" t="s">
        <v>48</v>
      </c>
      <c r="P15" s="18" t="s">
        <v>49</v>
      </c>
      <c r="Q15" s="19" t="s">
        <v>50</v>
      </c>
      <c r="R15" s="20" t="s">
        <v>51</v>
      </c>
      <c r="S15" s="21" t="s">
        <v>52</v>
      </c>
      <c r="T15" s="17" t="s">
        <v>48</v>
      </c>
      <c r="U15" s="18" t="s">
        <v>49</v>
      </c>
      <c r="V15" s="19" t="s">
        <v>50</v>
      </c>
      <c r="W15" s="20" t="s">
        <v>51</v>
      </c>
      <c r="X15" s="21" t="s">
        <v>52</v>
      </c>
      <c r="Y15" s="17" t="s">
        <v>48</v>
      </c>
      <c r="Z15" s="18" t="s">
        <v>49</v>
      </c>
      <c r="AA15" s="19" t="s">
        <v>50</v>
      </c>
      <c r="AB15" s="20" t="s">
        <v>51</v>
      </c>
      <c r="AC15" s="21" t="s">
        <v>52</v>
      </c>
      <c r="AD15" s="17" t="s">
        <v>48</v>
      </c>
      <c r="AE15" s="18" t="s">
        <v>49</v>
      </c>
      <c r="AF15" s="19" t="s">
        <v>50</v>
      </c>
      <c r="AG15" s="20" t="s">
        <v>51</v>
      </c>
      <c r="AH15" s="21" t="s">
        <v>52</v>
      </c>
      <c r="AI15" s="6" t="n">
        <f aca="false">COUNTIF(D15:AH15,"早A")</f>
        <v>6</v>
      </c>
    </row>
    <row r="16" customFormat="false" ht="17.15" hidden="false" customHeight="false" outlineLevel="0" collapsed="false">
      <c r="A16" s="8" t="s">
        <v>70</v>
      </c>
      <c r="B16" s="0" t="s">
        <v>26</v>
      </c>
      <c r="C16" s="8" t="s">
        <v>61</v>
      </c>
      <c r="D16" s="21" t="s">
        <v>52</v>
      </c>
      <c r="E16" s="17" t="s">
        <v>48</v>
      </c>
      <c r="F16" s="18" t="s">
        <v>49</v>
      </c>
      <c r="G16" s="19" t="s">
        <v>50</v>
      </c>
      <c r="H16" s="20" t="s">
        <v>51</v>
      </c>
      <c r="I16" s="21" t="s">
        <v>52</v>
      </c>
      <c r="J16" s="17" t="s">
        <v>48</v>
      </c>
      <c r="K16" s="18" t="s">
        <v>49</v>
      </c>
      <c r="L16" s="19" t="s">
        <v>50</v>
      </c>
      <c r="M16" s="20" t="s">
        <v>51</v>
      </c>
      <c r="N16" s="21" t="s">
        <v>52</v>
      </c>
      <c r="O16" s="17" t="s">
        <v>48</v>
      </c>
      <c r="P16" s="18" t="s">
        <v>49</v>
      </c>
      <c r="Q16" s="19" t="s">
        <v>50</v>
      </c>
      <c r="R16" s="20" t="s">
        <v>51</v>
      </c>
      <c r="S16" s="21" t="s">
        <v>52</v>
      </c>
      <c r="T16" s="17" t="s">
        <v>48</v>
      </c>
      <c r="U16" s="18" t="s">
        <v>49</v>
      </c>
      <c r="V16" s="19" t="s">
        <v>50</v>
      </c>
      <c r="W16" s="20" t="s">
        <v>51</v>
      </c>
      <c r="X16" s="21" t="s">
        <v>52</v>
      </c>
      <c r="Y16" s="17" t="s">
        <v>48</v>
      </c>
      <c r="Z16" s="18" t="s">
        <v>49</v>
      </c>
      <c r="AA16" s="19" t="s">
        <v>50</v>
      </c>
      <c r="AB16" s="20" t="s">
        <v>51</v>
      </c>
      <c r="AC16" s="21" t="s">
        <v>52</v>
      </c>
      <c r="AD16" s="17" t="s">
        <v>48</v>
      </c>
      <c r="AE16" s="18" t="s">
        <v>49</v>
      </c>
      <c r="AF16" s="19" t="s">
        <v>50</v>
      </c>
      <c r="AG16" s="20" t="s">
        <v>51</v>
      </c>
      <c r="AH16" s="21" t="s">
        <v>52</v>
      </c>
      <c r="AI16" s="6" t="n">
        <f aca="false">COUNTIF(D16:AH16,"早A")</f>
        <v>6</v>
      </c>
    </row>
    <row r="18" customFormat="false" ht="17.15" hidden="false" customHeight="false" outlineLevel="0" collapsed="false">
      <c r="A18" s="2" t="s">
        <v>71</v>
      </c>
    </row>
    <row r="19" customFormat="false" ht="17.15" hidden="false" customHeight="false" outlineLevel="0" collapsed="false">
      <c r="A19" s="27" t="s">
        <v>72</v>
      </c>
      <c r="B19" s="5" t="s">
        <v>73</v>
      </c>
    </row>
    <row r="20" customFormat="false" ht="17.15" hidden="false" customHeight="false" outlineLevel="0" collapsed="false">
      <c r="A20" s="28" t="s">
        <v>74</v>
      </c>
      <c r="B20" s="5" t="s">
        <v>75</v>
      </c>
    </row>
    <row r="21" customFormat="false" ht="15" hidden="false" customHeight="false" outlineLevel="0" collapsed="false">
      <c r="A21" s="29" t="s">
        <v>50</v>
      </c>
      <c r="B21" s="5" t="s">
        <v>76</v>
      </c>
    </row>
    <row r="22" customFormat="false" ht="15" hidden="false" customHeight="false" outlineLevel="0" collapsed="false">
      <c r="A22" s="30" t="s">
        <v>51</v>
      </c>
      <c r="B22" s="5" t="s">
        <v>77</v>
      </c>
    </row>
    <row r="23" customFormat="false" ht="15" hidden="false" customHeight="false" outlineLevel="0" collapsed="false">
      <c r="A23" s="31" t="s">
        <v>52</v>
      </c>
      <c r="B23" s="5" t="s">
        <v>78</v>
      </c>
    </row>
    <row r="24" customFormat="false" ht="15" hidden="false" customHeight="false" outlineLevel="0" collapsed="false">
      <c r="A24" s="2" t="s">
        <v>79</v>
      </c>
      <c r="B24" s="5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2" t="s">
        <v>81</v>
      </c>
      <c r="B1" s="2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4" t="s">
        <v>44</v>
      </c>
      <c r="B3" s="4" t="s">
        <v>19</v>
      </c>
      <c r="C3" s="4" t="s">
        <v>82</v>
      </c>
      <c r="D3" s="4" t="s">
        <v>83</v>
      </c>
      <c r="E3" s="4" t="s">
        <v>84</v>
      </c>
      <c r="F3" s="4" t="s">
        <v>85</v>
      </c>
      <c r="G3" s="4" t="s">
        <v>2</v>
      </c>
    </row>
    <row r="4" customFormat="false" ht="17.15" hidden="false" customHeight="false" outlineLevel="0" collapsed="false">
      <c r="A4" s="8" t="s">
        <v>55</v>
      </c>
      <c r="B4" s="0" t="str">
        <f aca="false">VLOOKUP(A4,メンバーデータ!$A:$B,2,FALSE())</f>
        <v>A</v>
      </c>
      <c r="C4" s="32" t="n">
        <v>46244</v>
      </c>
      <c r="D4" s="6" t="s">
        <v>86</v>
      </c>
      <c r="E4" s="0" t="str">
        <f aca="false">INDEX('シフト表(2026年8月)'!$D$2:$AH$16,MATCH($A4,'シフト表(2026年8月)'!$A$2:$A$16,0),MATCH($C4,'シフト表(2026年8月)'!$D$1:$AH$1,0))</f>
        <v>休</v>
      </c>
      <c r="F4" s="6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</row>
    <row r="5" customFormat="false" ht="17.15" hidden="false" customHeight="false" outlineLevel="0" collapsed="false">
      <c r="A5" s="8" t="s">
        <v>55</v>
      </c>
      <c r="B5" s="0" t="str">
        <f aca="false">VLOOKUP(A5,メンバーデータ!$A:$B,2,FALSE())</f>
        <v>A</v>
      </c>
      <c r="C5" s="33" t="n">
        <v>46245</v>
      </c>
      <c r="D5" s="6" t="s">
        <v>86</v>
      </c>
      <c r="E5" s="0" t="str">
        <f aca="false">INDEX('シフト表(2026年8月)'!$D$2:$AH$16,MATCH($A5,'シフト表(2026年8月)'!$A$2:$A$16,0),MATCH($C5,'シフト表(2026年8月)'!$D$1:$AH$1,0))</f>
        <v>早A</v>
      </c>
      <c r="F5" s="6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</row>
    <row r="6" customFormat="false" ht="17.15" hidden="false" customHeight="false" outlineLevel="0" collapsed="false">
      <c r="A6" s="8" t="s">
        <v>66</v>
      </c>
      <c r="B6" s="0" t="str">
        <f aca="false">VLOOKUP(A6,メンバーデータ!$A:$B,2,FALSE())</f>
        <v>B</v>
      </c>
      <c r="C6" s="34" t="n">
        <v>46254</v>
      </c>
      <c r="D6" s="6" t="s">
        <v>86</v>
      </c>
      <c r="E6" s="0" t="str">
        <f aca="false">INDEX('シフト表(2026年8月)'!$D$2:$AH$16,MATCH($A6,'シフト表(2026年8月)'!$A$2:$A$16,0),MATCH($C6,'シフト表(2026年8月)'!$D$1:$AH$1,0))</f>
        <v>早A</v>
      </c>
      <c r="F6" s="6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</row>
    <row r="7" customFormat="false" ht="17.15" hidden="false" customHeight="false" outlineLevel="0" collapsed="false">
      <c r="A7" s="8" t="s">
        <v>62</v>
      </c>
      <c r="B7" s="0" t="str">
        <f aca="false">VLOOKUP(A7,メンバーデータ!$A:$B,2,FALSE())</f>
        <v>C</v>
      </c>
      <c r="C7" s="35" t="n">
        <v>46249</v>
      </c>
      <c r="D7" s="6" t="s">
        <v>86</v>
      </c>
      <c r="E7" s="0" t="str">
        <f aca="false">INDEX('シフト表(2026年8月)'!$D$2:$AH$16,MATCH($A7,'シフト表(2026年8月)'!$A$2:$A$16,0),MATCH($C7,'シフト表(2026年8月)'!$D$1:$AH$1,0))</f>
        <v>早B</v>
      </c>
      <c r="F7" s="6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</row>
    <row r="8" customFormat="false" ht="17.15" hidden="false" customHeight="false" outlineLevel="0" collapsed="false">
      <c r="A8" s="8" t="s">
        <v>62</v>
      </c>
      <c r="B8" s="0" t="str">
        <f aca="false">VLOOKUP(A8,メンバーデータ!$A:$B,2,FALSE())</f>
        <v>C</v>
      </c>
      <c r="C8" s="36" t="n">
        <v>46250</v>
      </c>
      <c r="D8" s="6" t="s">
        <v>86</v>
      </c>
      <c r="E8" s="0" t="str">
        <f aca="false">INDEX('シフト表(2026年8月)'!$D$2:$AH$16,MATCH($A8,'シフト表(2026年8月)'!$A$2:$A$16,0),MATCH($C8,'シフト表(2026年8月)'!$D$1:$AH$1,0))</f>
        <v>夜</v>
      </c>
      <c r="F8" s="6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</row>
    <row r="9" customFormat="false" ht="17.15" hidden="false" customHeight="false" outlineLevel="0" collapsed="false">
      <c r="A9" s="8" t="s">
        <v>62</v>
      </c>
      <c r="B9" s="0" t="str">
        <f aca="false">VLOOKUP(A9,メンバーデータ!$A:$B,2,FALSE())</f>
        <v>C</v>
      </c>
      <c r="C9" s="32" t="n">
        <v>46251</v>
      </c>
      <c r="D9" s="6" t="s">
        <v>86</v>
      </c>
      <c r="E9" s="0" t="str">
        <f aca="false">INDEX('シフト表(2026年8月)'!$D$2:$AH$16,MATCH($A9,'シフト表(2026年8月)'!$A$2:$A$16,0),MATCH($C9,'シフト表(2026年8月)'!$D$1:$AH$1,0))</f>
        <v>明</v>
      </c>
      <c r="F9" s="6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</row>
    <row r="11" customFormat="false" ht="15" hidden="false" customHeight="false" outlineLevel="0" collapsed="false">
      <c r="A11" s="37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55"/>
  </cols>
  <sheetData>
    <row r="1" customFormat="false" ht="19.7" hidden="false" customHeight="false" outlineLevel="0" collapsed="false">
      <c r="A1" s="1" t="s">
        <v>88</v>
      </c>
      <c r="B1" s="1"/>
      <c r="C1" s="1"/>
      <c r="D1" s="1"/>
    </row>
    <row r="3" customFormat="false" ht="17.15" hidden="false" customHeight="false" outlineLevel="0" collapsed="false">
      <c r="A3" s="2" t="s">
        <v>89</v>
      </c>
      <c r="B3" s="0" t="n">
        <v>13</v>
      </c>
    </row>
    <row r="4" customFormat="false" ht="15" hidden="false" customHeight="false" outlineLevel="0" collapsed="false">
      <c r="A4" s="2" t="s">
        <v>90</v>
      </c>
      <c r="B4" s="0" t="n">
        <v>5</v>
      </c>
      <c r="C4" s="38" t="s">
        <v>91</v>
      </c>
    </row>
    <row r="6" customFormat="false" ht="17.15" hidden="false" customHeight="false" outlineLevel="0" collapsed="false">
      <c r="A6" s="4" t="s">
        <v>92</v>
      </c>
      <c r="B6" s="4" t="s">
        <v>93</v>
      </c>
      <c r="C6" s="4" t="s">
        <v>94</v>
      </c>
    </row>
    <row r="7" customFormat="false" ht="17.15" hidden="false" customHeight="false" outlineLevel="0" collapsed="false">
      <c r="A7" s="8" t="s">
        <v>46</v>
      </c>
      <c r="B7" s="0" t="s">
        <v>95</v>
      </c>
      <c r="C7" s="0" t="n">
        <v>1</v>
      </c>
    </row>
    <row r="8" customFormat="false" ht="17.15" hidden="false" customHeight="false" outlineLevel="0" collapsed="false">
      <c r="A8" s="8" t="s">
        <v>53</v>
      </c>
      <c r="B8" s="0" t="s">
        <v>96</v>
      </c>
      <c r="C8" s="0" t="n">
        <v>2</v>
      </c>
    </row>
    <row r="9" customFormat="false" ht="17.15" hidden="false" customHeight="false" outlineLevel="0" collapsed="false">
      <c r="A9" s="8" t="s">
        <v>54</v>
      </c>
      <c r="B9" s="0" t="s">
        <v>97</v>
      </c>
      <c r="C9" s="0" t="n">
        <v>2</v>
      </c>
    </row>
    <row r="10" customFormat="false" ht="17.15" hidden="false" customHeight="false" outlineLevel="0" collapsed="false">
      <c r="A10" s="8" t="s">
        <v>63</v>
      </c>
      <c r="B10" s="0" t="s">
        <v>98</v>
      </c>
      <c r="C10" s="0" t="n">
        <v>4</v>
      </c>
    </row>
    <row r="11" customFormat="false" ht="17.15" hidden="false" customHeight="false" outlineLevel="0" collapsed="false">
      <c r="A11" s="8" t="s">
        <v>65</v>
      </c>
      <c r="B11" s="0" t="s">
        <v>99</v>
      </c>
      <c r="C11" s="0" t="n">
        <v>4</v>
      </c>
    </row>
    <row r="14" customFormat="false" ht="17.15" hidden="false" customHeight="false" outlineLevel="0" collapsed="false">
      <c r="A14" s="2" t="s">
        <v>100</v>
      </c>
    </row>
    <row r="15" customFormat="false" ht="17.15" hidden="false" customHeight="false" outlineLevel="0" collapsed="false">
      <c r="A15" s="4" t="s">
        <v>101</v>
      </c>
      <c r="B15" s="4" t="s">
        <v>102</v>
      </c>
      <c r="C15" s="4" t="s">
        <v>103</v>
      </c>
      <c r="D15" s="4" t="s">
        <v>104</v>
      </c>
    </row>
    <row r="16" customFormat="false" ht="64.15" hidden="false" customHeight="false" outlineLevel="0" collapsed="false">
      <c r="A16" s="8" t="s">
        <v>105</v>
      </c>
      <c r="B16" s="39" t="s">
        <v>106</v>
      </c>
      <c r="C16" s="39" t="s">
        <v>107</v>
      </c>
      <c r="D16" s="39" t="s">
        <v>108</v>
      </c>
    </row>
    <row r="17" customFormat="false" ht="64.15" hidden="false" customHeight="false" outlineLevel="0" collapsed="false">
      <c r="A17" s="8" t="s">
        <v>109</v>
      </c>
      <c r="B17" s="39" t="s">
        <v>110</v>
      </c>
      <c r="C17" s="39" t="s">
        <v>111</v>
      </c>
      <c r="D17" s="39" t="s">
        <v>112</v>
      </c>
    </row>
    <row r="18" customFormat="false" ht="64.15" hidden="false" customHeight="false" outlineLevel="0" collapsed="false">
      <c r="A18" s="8" t="s">
        <v>113</v>
      </c>
      <c r="B18" s="39" t="s">
        <v>110</v>
      </c>
      <c r="C18" s="39" t="s">
        <v>111</v>
      </c>
      <c r="D18" s="39" t="s">
        <v>112</v>
      </c>
    </row>
    <row r="19" customFormat="false" ht="64.15" hidden="false" customHeight="false" outlineLevel="0" collapsed="false">
      <c r="A19" s="8" t="s">
        <v>114</v>
      </c>
      <c r="B19" s="39" t="s">
        <v>115</v>
      </c>
      <c r="C19" s="39" t="s">
        <v>116</v>
      </c>
      <c r="D19" s="39" t="s">
        <v>117</v>
      </c>
    </row>
    <row r="20" customFormat="false" ht="64.15" hidden="false" customHeight="false" outlineLevel="0" collapsed="false">
      <c r="A20" s="8" t="s">
        <v>118</v>
      </c>
      <c r="B20" s="39" t="s">
        <v>115</v>
      </c>
      <c r="C20" s="39" t="s">
        <v>119</v>
      </c>
      <c r="D20" s="39" t="s">
        <v>117</v>
      </c>
    </row>
    <row r="21" customFormat="false" ht="64.15" hidden="false" customHeight="false" outlineLevel="0" collapsed="false">
      <c r="A21" s="8" t="s">
        <v>120</v>
      </c>
      <c r="B21" s="39" t="s">
        <v>121</v>
      </c>
      <c r="C21" s="39" t="s">
        <v>122</v>
      </c>
      <c r="D21" s="39" t="s">
        <v>123</v>
      </c>
    </row>
    <row r="22" customFormat="false" ht="64.15" hidden="false" customHeight="false" outlineLevel="0" collapsed="false">
      <c r="A22" s="8" t="s">
        <v>124</v>
      </c>
      <c r="B22" s="39" t="s">
        <v>125</v>
      </c>
      <c r="C22" s="39" t="s">
        <v>126</v>
      </c>
      <c r="D22" s="39" t="s">
        <v>123</v>
      </c>
    </row>
    <row r="23" customFormat="false" ht="64.15" hidden="false" customHeight="false" outlineLevel="0" collapsed="false">
      <c r="A23" s="8" t="s">
        <v>127</v>
      </c>
      <c r="B23" s="39" t="s">
        <v>121</v>
      </c>
      <c r="C23" s="39" t="s">
        <v>128</v>
      </c>
      <c r="D23" s="39" t="s">
        <v>123</v>
      </c>
    </row>
    <row r="24" customFormat="false" ht="64.15" hidden="false" customHeight="false" outlineLevel="0" collapsed="false">
      <c r="A24" s="8" t="s">
        <v>129</v>
      </c>
      <c r="B24" s="39" t="s">
        <v>125</v>
      </c>
      <c r="C24" s="39" t="s">
        <v>126</v>
      </c>
      <c r="D24" s="39" t="s">
        <v>123</v>
      </c>
    </row>
    <row r="25" customFormat="false" ht="64.15" hidden="false" customHeight="false" outlineLevel="0" collapsed="false">
      <c r="A25" s="8" t="s">
        <v>130</v>
      </c>
      <c r="B25" s="39" t="s">
        <v>131</v>
      </c>
      <c r="C25" s="39" t="s">
        <v>132</v>
      </c>
      <c r="D25" s="39" t="s">
        <v>133</v>
      </c>
    </row>
    <row r="26" customFormat="false" ht="64.15" hidden="false" customHeight="false" outlineLevel="0" collapsed="false">
      <c r="A26" s="8" t="s">
        <v>134</v>
      </c>
      <c r="B26" s="39" t="s">
        <v>131</v>
      </c>
      <c r="C26" s="39" t="s">
        <v>135</v>
      </c>
      <c r="D26" s="39" t="s">
        <v>133</v>
      </c>
    </row>
    <row r="27" customFormat="false" ht="64.15" hidden="false" customHeight="false" outlineLevel="0" collapsed="false">
      <c r="A27" s="8" t="s">
        <v>136</v>
      </c>
      <c r="B27" s="39" t="s">
        <v>137</v>
      </c>
      <c r="C27" s="39" t="s">
        <v>138</v>
      </c>
      <c r="D27" s="39" t="s">
        <v>133</v>
      </c>
    </row>
    <row r="28" customFormat="false" ht="64.15" hidden="false" customHeight="false" outlineLevel="0" collapsed="false">
      <c r="A28" s="8" t="s">
        <v>139</v>
      </c>
      <c r="B28" s="39" t="s">
        <v>131</v>
      </c>
      <c r="C28" s="39" t="s">
        <v>135</v>
      </c>
      <c r="D28" s="39" t="s">
        <v>133</v>
      </c>
    </row>
    <row r="30" customFormat="false" ht="39.75" hidden="false" customHeight="true" outlineLevel="0" collapsed="false">
      <c r="A30" s="40" t="s">
        <v>140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148</v>
      </c>
      <c r="L1" s="4" t="s">
        <v>149</v>
      </c>
      <c r="M1" s="4" t="s">
        <v>150</v>
      </c>
      <c r="N1" s="4" t="s">
        <v>151</v>
      </c>
      <c r="O1" s="4" t="s">
        <v>152</v>
      </c>
    </row>
    <row r="2" customFormat="false" ht="17.15" hidden="false" customHeight="false" outlineLevel="0" collapsed="false">
      <c r="A2" s="8" t="s">
        <v>46</v>
      </c>
      <c r="B2" s="0" t="s">
        <v>22</v>
      </c>
      <c r="C2" s="8" t="s">
        <v>47</v>
      </c>
      <c r="D2" s="0" t="n">
        <v>118</v>
      </c>
      <c r="E2" s="8" t="s">
        <v>153</v>
      </c>
      <c r="F2" s="8" t="s">
        <v>154</v>
      </c>
      <c r="G2" s="8" t="s">
        <v>154</v>
      </c>
      <c r="H2" s="8" t="s">
        <v>155</v>
      </c>
      <c r="I2" s="8" t="s">
        <v>154</v>
      </c>
      <c r="J2" s="8" t="s">
        <v>156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8" t="s">
        <v>53</v>
      </c>
      <c r="B3" s="0" t="s">
        <v>23</v>
      </c>
      <c r="C3" s="8" t="s">
        <v>47</v>
      </c>
      <c r="D3" s="0" t="n">
        <v>104</v>
      </c>
      <c r="E3" s="8" t="s">
        <v>157</v>
      </c>
      <c r="F3" s="8" t="s">
        <v>154</v>
      </c>
      <c r="G3" s="8" t="s">
        <v>155</v>
      </c>
      <c r="H3" s="8" t="s">
        <v>154</v>
      </c>
      <c r="I3" s="8" t="s">
        <v>155</v>
      </c>
      <c r="J3" s="8" t="s">
        <v>158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8" t="s">
        <v>54</v>
      </c>
      <c r="B4" s="0" t="s">
        <v>24</v>
      </c>
      <c r="C4" s="8" t="s">
        <v>47</v>
      </c>
      <c r="D4" s="0" t="n">
        <v>96</v>
      </c>
      <c r="E4" s="8" t="s">
        <v>159</v>
      </c>
      <c r="F4" s="8" t="s">
        <v>155</v>
      </c>
      <c r="G4" s="8" t="s">
        <v>154</v>
      </c>
      <c r="H4" s="8" t="s">
        <v>155</v>
      </c>
      <c r="I4" s="8" t="s">
        <v>154</v>
      </c>
      <c r="J4" s="8" t="s">
        <v>160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8" t="s">
        <v>55</v>
      </c>
      <c r="B5" s="0" t="s">
        <v>22</v>
      </c>
      <c r="C5" s="8" t="s">
        <v>56</v>
      </c>
      <c r="D5" s="0" t="n">
        <v>46</v>
      </c>
      <c r="E5" s="8" t="s">
        <v>161</v>
      </c>
      <c r="F5" s="8" t="s">
        <v>155</v>
      </c>
      <c r="G5" s="8" t="s">
        <v>155</v>
      </c>
      <c r="H5" s="8" t="s">
        <v>162</v>
      </c>
      <c r="I5" s="8" t="s">
        <v>155</v>
      </c>
      <c r="J5" s="8" t="s">
        <v>163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8" t="s">
        <v>57</v>
      </c>
      <c r="B6" s="0" t="s">
        <v>23</v>
      </c>
      <c r="C6" s="8" t="s">
        <v>56</v>
      </c>
      <c r="D6" s="0" t="n">
        <v>41</v>
      </c>
      <c r="E6" s="8" t="s">
        <v>161</v>
      </c>
      <c r="F6" s="8" t="s">
        <v>155</v>
      </c>
      <c r="G6" s="8" t="s">
        <v>162</v>
      </c>
      <c r="H6" s="8" t="s">
        <v>155</v>
      </c>
      <c r="I6" s="8" t="s">
        <v>155</v>
      </c>
      <c r="J6" s="8" t="s">
        <v>163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8" t="s">
        <v>58</v>
      </c>
      <c r="B7" s="0" t="s">
        <v>24</v>
      </c>
      <c r="C7" s="8" t="s">
        <v>56</v>
      </c>
      <c r="D7" s="0" t="n">
        <v>38</v>
      </c>
      <c r="F7" s="8" t="s">
        <v>162</v>
      </c>
      <c r="G7" s="8" t="s">
        <v>155</v>
      </c>
      <c r="H7" s="8" t="s">
        <v>155</v>
      </c>
      <c r="I7" s="8" t="s">
        <v>162</v>
      </c>
      <c r="J7" s="8" t="s">
        <v>164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8" t="s">
        <v>59</v>
      </c>
      <c r="B8" s="0" t="s">
        <v>25</v>
      </c>
      <c r="C8" s="8" t="s">
        <v>56</v>
      </c>
      <c r="D8" s="0" t="n">
        <v>35</v>
      </c>
      <c r="E8" s="8" t="s">
        <v>161</v>
      </c>
      <c r="F8" s="8" t="s">
        <v>162</v>
      </c>
      <c r="G8" s="8" t="s">
        <v>155</v>
      </c>
      <c r="H8" s="8" t="s">
        <v>162</v>
      </c>
      <c r="I8" s="8" t="s">
        <v>155</v>
      </c>
      <c r="J8" s="8" t="s">
        <v>165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8" t="s">
        <v>60</v>
      </c>
      <c r="B9" s="0" t="s">
        <v>22</v>
      </c>
      <c r="C9" s="8" t="s">
        <v>61</v>
      </c>
      <c r="D9" s="0" t="n">
        <v>20</v>
      </c>
      <c r="F9" s="8" t="s">
        <v>162</v>
      </c>
      <c r="G9" s="8" t="s">
        <v>162</v>
      </c>
      <c r="H9" s="8" t="s">
        <v>166</v>
      </c>
      <c r="I9" s="8" t="s">
        <v>155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8" t="s">
        <v>62</v>
      </c>
      <c r="B10" s="0" t="s">
        <v>24</v>
      </c>
      <c r="C10" s="8" t="s">
        <v>61</v>
      </c>
      <c r="D10" s="0" t="n">
        <v>16</v>
      </c>
      <c r="F10" s="8" t="s">
        <v>166</v>
      </c>
      <c r="G10" s="8" t="s">
        <v>162</v>
      </c>
      <c r="H10" s="8" t="s">
        <v>162</v>
      </c>
      <c r="I10" s="8" t="s">
        <v>162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8" t="s">
        <v>63</v>
      </c>
      <c r="B11" s="0" t="s">
        <v>25</v>
      </c>
      <c r="C11" s="8" t="s">
        <v>64</v>
      </c>
      <c r="D11" s="0" t="n">
        <v>68</v>
      </c>
      <c r="E11" s="8" t="s">
        <v>167</v>
      </c>
      <c r="F11" s="8" t="s">
        <v>155</v>
      </c>
      <c r="G11" s="8" t="s">
        <v>168</v>
      </c>
      <c r="H11" s="8" t="s">
        <v>155</v>
      </c>
      <c r="I11" s="8" t="s">
        <v>168</v>
      </c>
      <c r="J11" s="8" t="s">
        <v>169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8" t="s">
        <v>65</v>
      </c>
      <c r="B12" s="0" t="s">
        <v>26</v>
      </c>
      <c r="C12" s="8" t="s">
        <v>64</v>
      </c>
      <c r="D12" s="0" t="n">
        <v>61</v>
      </c>
      <c r="E12" s="8" t="s">
        <v>161</v>
      </c>
      <c r="F12" s="8" t="s">
        <v>155</v>
      </c>
      <c r="G12" s="8" t="s">
        <v>155</v>
      </c>
      <c r="H12" s="8" t="s">
        <v>168</v>
      </c>
      <c r="I12" s="8" t="s">
        <v>155</v>
      </c>
      <c r="J12" s="8" t="s">
        <v>170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8" t="s">
        <v>66</v>
      </c>
      <c r="B13" s="0" t="s">
        <v>23</v>
      </c>
      <c r="C13" s="8" t="s">
        <v>67</v>
      </c>
      <c r="D13" s="0" t="n">
        <v>6</v>
      </c>
      <c r="F13" s="8" t="s">
        <v>166</v>
      </c>
      <c r="G13" s="8" t="s">
        <v>166</v>
      </c>
      <c r="H13" s="8" t="s">
        <v>166</v>
      </c>
      <c r="I13" s="8" t="s">
        <v>162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8" t="s">
        <v>68</v>
      </c>
      <c r="B14" s="0" t="s">
        <v>25</v>
      </c>
      <c r="C14" s="8" t="s">
        <v>67</v>
      </c>
      <c r="D14" s="0" t="n">
        <v>3</v>
      </c>
      <c r="F14" s="8" t="s">
        <v>166</v>
      </c>
      <c r="G14" s="8" t="s">
        <v>166</v>
      </c>
      <c r="H14" s="8" t="s">
        <v>166</v>
      </c>
      <c r="I14" s="8" t="s">
        <v>166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8" t="s">
        <v>69</v>
      </c>
      <c r="B15" s="0" t="s">
        <v>26</v>
      </c>
      <c r="C15" s="8" t="s">
        <v>56</v>
      </c>
      <c r="D15" s="0" t="n">
        <v>33</v>
      </c>
      <c r="E15" s="8" t="s">
        <v>161</v>
      </c>
      <c r="F15" s="8" t="s">
        <v>162</v>
      </c>
      <c r="G15" s="8" t="s">
        <v>155</v>
      </c>
      <c r="H15" s="8" t="s">
        <v>155</v>
      </c>
      <c r="I15" s="8" t="s">
        <v>162</v>
      </c>
      <c r="J15" s="8" t="s">
        <v>171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8" t="s">
        <v>70</v>
      </c>
      <c r="B16" s="0" t="s">
        <v>26</v>
      </c>
      <c r="C16" s="8" t="s">
        <v>61</v>
      </c>
      <c r="D16" s="0" t="n">
        <v>14</v>
      </c>
      <c r="F16" s="8" t="s">
        <v>166</v>
      </c>
      <c r="G16" s="8" t="s">
        <v>162</v>
      </c>
      <c r="H16" s="8" t="s">
        <v>166</v>
      </c>
      <c r="I16" s="8" t="s">
        <v>162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8" t="s">
        <v>172</v>
      </c>
      <c r="B1" s="8" t="s">
        <v>173</v>
      </c>
    </row>
    <row r="2" customFormat="false" ht="15" hidden="false" customHeight="false" outlineLevel="0" collapsed="false">
      <c r="A2" s="8" t="s">
        <v>166</v>
      </c>
      <c r="B2" s="0" t="n">
        <v>0</v>
      </c>
    </row>
    <row r="3" customFormat="false" ht="15" hidden="false" customHeight="false" outlineLevel="0" collapsed="false">
      <c r="A3" s="8" t="s">
        <v>162</v>
      </c>
      <c r="B3" s="0" t="n">
        <v>1</v>
      </c>
    </row>
    <row r="4" customFormat="false" ht="15" hidden="false" customHeight="false" outlineLevel="0" collapsed="false">
      <c r="A4" s="8" t="s">
        <v>155</v>
      </c>
      <c r="B4" s="0" t="n">
        <v>2</v>
      </c>
    </row>
    <row r="5" customFormat="false" ht="15" hidden="false" customHeight="false" outlineLevel="0" collapsed="false">
      <c r="A5" s="8" t="s">
        <v>168</v>
      </c>
      <c r="B5" s="0" t="n">
        <v>3</v>
      </c>
    </row>
    <row r="6" customFormat="false" ht="15" hidden="false" customHeight="false" outlineLevel="0" collapsed="false">
      <c r="A6" s="8" t="s">
        <v>154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2026-07-21T20:39:10Z</dcterms:created>
  <dc:creator>openpyxl</dc:creator>
  <dc:description/>
  <dc:language>en-US</dc:language>
  <cp:lastModifiedBy/>
  <dcterms:modified xsi:type="dcterms:W3CDTF">2026-07-21T20:39:10Z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