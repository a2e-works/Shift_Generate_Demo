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使い方" sheetId="1" state="visible" r:id="rId3"/>
    <sheet name="シフト健全度" sheetId="2" state="visible" r:id="rId4"/>
    <sheet name="シフト表(2026年8月)" sheetId="3" state="visible" r:id="rId5"/>
    <sheet name="希望休申請一覧" sheetId="4" state="visible" r:id="rId6"/>
    <sheet name="労働時間・自動承認設定" sheetId="5" state="visible" r:id="rId7"/>
    <sheet name="頭打ち箇所と対応案" sheetId="6" state="visible" r:id="rId8"/>
    <sheet name="メンバーデータ" sheetId="7" state="visible" r:id="rId9"/>
    <sheet name="段階マップ" sheetId="8" state="hidden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M5" authorId="0">
      <text>
        <r>
          <rPr>
            <sz val="10"/>
            <rFont val="Noto Sans CJK SC"/>
            <family val="2"/>
          </rPr>
          <t xml:space="preserve">希望休の申請あり</t>
        </r>
      </text>
    </comment>
    <comment ref="N5" authorId="0">
      <text>
        <r>
          <rPr>
            <sz val="10"/>
            <rFont val="Noto Sans CJK SC"/>
            <family val="2"/>
          </rPr>
          <t xml:space="preserve">希望休の申請あり</t>
        </r>
      </text>
    </comment>
    <comment ref="R10" authorId="0">
      <text>
        <r>
          <rPr>
            <sz val="10"/>
            <rFont val="Noto Sans CJK SC"/>
            <family val="2"/>
          </rPr>
          <t xml:space="preserve">希望休の申請あり</t>
        </r>
      </text>
    </comment>
    <comment ref="S10" authorId="0">
      <text>
        <r>
          <rPr>
            <sz val="10"/>
            <rFont val="Noto Sans CJK SC"/>
            <family val="2"/>
          </rPr>
          <t xml:space="preserve">希望休の申請あり</t>
        </r>
      </text>
    </comment>
    <comment ref="T10" authorId="0">
      <text>
        <r>
          <rPr>
            <sz val="10"/>
            <rFont val="Noto Sans CJK SC"/>
            <family val="2"/>
          </rPr>
          <t xml:space="preserve">希望休の申請あり</t>
        </r>
      </text>
    </comment>
    <comment ref="W13" authorId="0">
      <text>
        <r>
          <rPr>
            <sz val="10"/>
            <rFont val="Noto Sans CJK SC"/>
            <family val="2"/>
          </rPr>
          <t xml:space="preserve">希望休の申請あり</t>
        </r>
      </text>
    </comment>
  </commentList>
</comments>
</file>

<file path=xl/sharedStrings.xml><?xml version="1.0" encoding="utf-8"?>
<sst xmlns="http://schemas.openxmlformats.org/spreadsheetml/2006/main" count="1085" uniqueCount="306">
  <si>
    <r>
      <rPr>
        <b val="true"/>
        <sz val="16"/>
        <rFont val="Noto Sans CJK SC"/>
        <family val="2"/>
      </rPr>
      <t xml:space="preserve">このレポートの読み方</t>
    </r>
    <r>
      <rPr>
        <b val="true"/>
        <sz val="16"/>
        <rFont val="Arial"/>
        <family val="0"/>
        <charset val="1"/>
      </rPr>
      <t xml:space="preserve">(6</t>
    </r>
    <r>
      <rPr>
        <b val="true"/>
        <sz val="16"/>
        <rFont val="Noto Sans CJK SC"/>
        <family val="2"/>
      </rPr>
      <t xml:space="preserve">ステップ</t>
    </r>
    <r>
      <rPr>
        <b val="true"/>
        <sz val="16"/>
        <rFont val="Arial"/>
        <family val="0"/>
        <charset val="1"/>
      </rPr>
      <t xml:space="preserve">)</t>
    </r>
  </si>
  <si>
    <t xml:space="preserve">スコアを見る → 原因を特定する → 対応案を選ぶ → 実行して効果を追う、という流れで使います。</t>
  </si>
  <si>
    <t xml:space="preserve">STEP1</t>
  </si>
  <si>
    <t xml:space="preserve">総合スコアを見る</t>
  </si>
  <si>
    <t xml:space="preserve">見る場所</t>
  </si>
  <si>
    <r>
      <rPr>
        <sz val="11"/>
        <color theme="1"/>
        <rFont val="Noto Sans CJK SC"/>
        <family val="2"/>
      </rPr>
      <t xml:space="preserve">「シフト健全度」シート </t>
    </r>
    <r>
      <rPr>
        <sz val="11"/>
        <color theme="1"/>
        <rFont val="Calibri"/>
        <family val="2"/>
        <charset val="1"/>
      </rPr>
      <t xml:space="preserve">C3</t>
    </r>
    <r>
      <rPr>
        <sz val="11"/>
        <color theme="1"/>
        <rFont val="Noto Sans CJK SC"/>
        <family val="2"/>
      </rPr>
      <t xml:space="preserve">セル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総合健全度スコア</t>
    </r>
    <r>
      <rPr>
        <sz val="11"/>
        <color theme="1"/>
        <rFont val="Calibri"/>
        <family val="2"/>
        <charset val="1"/>
      </rPr>
      <t xml:space="preserve">)</t>
    </r>
  </si>
  <si>
    <t xml:space="preserve">判断基準</t>
  </si>
  <si>
    <r>
      <rPr>
        <sz val="11"/>
        <color theme="1"/>
        <rFont val="Calibri"/>
        <family val="2"/>
        <charset val="1"/>
      </rPr>
      <t xml:space="preserve">80</t>
    </r>
    <r>
      <rPr>
        <sz val="11"/>
        <color theme="1"/>
        <rFont val="Noto Sans CJK SC"/>
        <family val="2"/>
      </rPr>
      <t xml:space="preserve">以上</t>
    </r>
    <r>
      <rPr>
        <sz val="11"/>
        <color theme="1"/>
        <rFont val="Calibri"/>
        <family val="2"/>
        <charset val="1"/>
      </rPr>
      <t xml:space="preserve">=</t>
    </r>
    <r>
      <rPr>
        <sz val="11"/>
        <color theme="1"/>
        <rFont val="Noto Sans CJK SC"/>
        <family val="2"/>
      </rPr>
      <t xml:space="preserve">安全 </t>
    </r>
    <r>
      <rPr>
        <sz val="11"/>
        <color theme="1"/>
        <rFont val="Calibri"/>
        <family val="2"/>
        <charset val="1"/>
      </rPr>
      <t xml:space="preserve">/ 60</t>
    </r>
    <r>
      <rPr>
        <sz val="11"/>
        <color theme="1"/>
        <rFont val="Noto Sans CJK SC"/>
        <family val="2"/>
      </rPr>
      <t xml:space="preserve">〜</t>
    </r>
    <r>
      <rPr>
        <sz val="11"/>
        <color theme="1"/>
        <rFont val="Calibri"/>
        <family val="2"/>
        <charset val="1"/>
      </rPr>
      <t xml:space="preserve">79=</t>
    </r>
    <r>
      <rPr>
        <sz val="11"/>
        <color theme="1"/>
        <rFont val="Noto Sans CJK SC"/>
        <family val="2"/>
      </rPr>
      <t xml:space="preserve">要注意 </t>
    </r>
    <r>
      <rPr>
        <sz val="11"/>
        <color theme="1"/>
        <rFont val="Calibri"/>
        <family val="2"/>
        <charset val="1"/>
      </rPr>
      <t xml:space="preserve">/ 60</t>
    </r>
    <r>
      <rPr>
        <sz val="11"/>
        <color theme="1"/>
        <rFont val="Noto Sans CJK SC"/>
        <family val="2"/>
      </rPr>
      <t xml:space="preserve">未満</t>
    </r>
    <r>
      <rPr>
        <sz val="11"/>
        <color theme="1"/>
        <rFont val="Calibri"/>
        <family val="2"/>
        <charset val="1"/>
      </rPr>
      <t xml:space="preserve">=</t>
    </r>
    <r>
      <rPr>
        <sz val="11"/>
        <color theme="1"/>
        <rFont val="Noto Sans CJK SC"/>
        <family val="2"/>
      </rPr>
      <t xml:space="preserve">要対応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バックアップ確保が必要</t>
    </r>
    <r>
      <rPr>
        <sz val="11"/>
        <color theme="1"/>
        <rFont val="Calibri"/>
        <family val="2"/>
        <charset val="1"/>
      </rPr>
      <t xml:space="preserve">)</t>
    </r>
  </si>
  <si>
    <t xml:space="preserve">このデモでは</t>
  </si>
  <si>
    <r>
      <rPr>
        <sz val="11"/>
        <color theme="1"/>
        <rFont val="Calibri"/>
        <family val="2"/>
        <charset val="1"/>
      </rPr>
      <t xml:space="preserve">71.6 → </t>
    </r>
    <r>
      <rPr>
        <sz val="11"/>
        <color theme="1"/>
        <rFont val="Noto Sans CJK SC"/>
        <family val="2"/>
      </rPr>
      <t xml:space="preserve">要注意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イベント重複時は厳しい可能性</t>
    </r>
    <r>
      <rPr>
        <sz val="11"/>
        <color theme="1"/>
        <rFont val="Calibri"/>
        <family val="2"/>
        <charset val="1"/>
      </rPr>
      <t xml:space="preserve">)</t>
    </r>
  </si>
  <si>
    <t xml:space="preserve">STEP2</t>
  </si>
  <si>
    <t xml:space="preserve">弱い指標を特定する</t>
  </si>
  <si>
    <r>
      <rPr>
        <sz val="11"/>
        <color theme="1"/>
        <rFont val="Noto Sans CJK SC"/>
        <family val="2"/>
      </rPr>
      <t xml:space="preserve">「シフト健全度」シートの指標テーブル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教育達成率・属人化耐性・資格充足率・バックアップ率・変更耐性</t>
    </r>
    <r>
      <rPr>
        <sz val="11"/>
        <color theme="1"/>
        <rFont val="Calibri"/>
        <family val="2"/>
        <charset val="1"/>
      </rPr>
      <t xml:space="preserve">)</t>
    </r>
  </si>
  <si>
    <t xml:space="preserve">あるあるパターン</t>
  </si>
  <si>
    <t xml:space="preserve">指標</t>
  </si>
  <si>
    <t xml:space="preserve">低いとき、現場ではこう見えている</t>
  </si>
  <si>
    <t xml:space="preserve">数値の目安</t>
  </si>
  <si>
    <t xml:space="preserve">教育達成率が低い</t>
  </si>
  <si>
    <t xml:space="preserve">「新人にはまだ早い」でリーダーが仕事を抱え込み、教育の時間が取れていない</t>
  </si>
  <si>
    <r>
      <rPr>
        <sz val="9"/>
        <rFont val="Arial"/>
        <family val="0"/>
        <charset val="1"/>
      </rPr>
      <t xml:space="preserve">70%</t>
    </r>
    <r>
      <rPr>
        <sz val="9"/>
        <rFont val="Noto Sans CJK SC"/>
        <family val="2"/>
      </rPr>
      <t xml:space="preserve">以上</t>
    </r>
    <r>
      <rPr>
        <sz val="9"/>
        <rFont val="Arial"/>
        <family val="0"/>
        <charset val="1"/>
      </rPr>
      <t xml:space="preserve">: </t>
    </r>
    <r>
      <rPr>
        <sz val="9"/>
        <rFont val="Noto Sans CJK SC"/>
        <family val="2"/>
      </rPr>
      <t xml:space="preserve">順調 </t>
    </r>
    <r>
      <rPr>
        <sz val="9"/>
        <rFont val="Arial"/>
        <family val="0"/>
        <charset val="1"/>
      </rPr>
      <t xml:space="preserve">/ 40</t>
    </r>
    <r>
      <rPr>
        <sz val="9"/>
        <rFont val="Noto Sans CJK SC"/>
        <family val="2"/>
      </rPr>
      <t xml:space="preserve">〜</t>
    </r>
    <r>
      <rPr>
        <sz val="9"/>
        <rFont val="Arial"/>
        <family val="0"/>
        <charset val="1"/>
      </rPr>
      <t xml:space="preserve">70%: </t>
    </r>
    <r>
      <rPr>
        <sz val="9"/>
        <rFont val="Noto Sans CJK SC"/>
        <family val="2"/>
      </rPr>
      <t xml:space="preserve">要改善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教育投資を増やす</t>
    </r>
    <r>
      <rPr>
        <sz val="9"/>
        <rFont val="Arial"/>
        <family val="0"/>
        <charset val="1"/>
      </rPr>
      <t xml:space="preserve">) / 40%</t>
    </r>
    <r>
      <rPr>
        <sz val="9"/>
        <rFont val="Noto Sans CJK SC"/>
        <family val="2"/>
      </rPr>
      <t xml:space="preserve">未満</t>
    </r>
    <r>
      <rPr>
        <sz val="9"/>
        <rFont val="Arial"/>
        <family val="0"/>
        <charset val="1"/>
      </rPr>
      <t xml:space="preserve">: </t>
    </r>
    <r>
      <rPr>
        <sz val="9"/>
        <rFont val="Noto Sans CJK SC"/>
        <family val="2"/>
      </rPr>
      <t xml:space="preserve">緊急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頭打ちの可能性大</t>
    </r>
    <r>
      <rPr>
        <sz val="9"/>
        <rFont val="Arial"/>
        <family val="0"/>
        <charset val="1"/>
      </rPr>
      <t xml:space="preserve">)</t>
    </r>
  </si>
  <si>
    <t xml:space="preserve">属人化耐性が低い</t>
  </si>
  <si>
    <t xml:space="preserve">「あの人じゃないと分からない」設備がある。その人が休むと現場が止まる</t>
  </si>
  <si>
    <r>
      <rPr>
        <sz val="9"/>
        <rFont val="Arial"/>
        <family val="0"/>
        <charset val="1"/>
      </rPr>
      <t xml:space="preserve">80</t>
    </r>
    <r>
      <rPr>
        <sz val="9"/>
        <rFont val="Noto Sans CJK SC"/>
        <family val="2"/>
      </rPr>
      <t xml:space="preserve">以上</t>
    </r>
    <r>
      <rPr>
        <sz val="9"/>
        <rFont val="Arial"/>
        <family val="0"/>
        <charset val="1"/>
      </rPr>
      <t xml:space="preserve">: </t>
    </r>
    <r>
      <rPr>
        <sz val="9"/>
        <rFont val="Noto Sans CJK SC"/>
        <family val="2"/>
      </rPr>
      <t xml:space="preserve">安全</t>
    </r>
    <r>
      <rPr>
        <sz val="9"/>
        <rFont val="Arial"/>
        <family val="0"/>
        <charset val="1"/>
      </rPr>
      <t xml:space="preserve">(3</t>
    </r>
    <r>
      <rPr>
        <sz val="9"/>
        <rFont val="Noto Sans CJK SC"/>
        <family val="2"/>
      </rPr>
      <t xml:space="preserve">人以上対応可</t>
    </r>
    <r>
      <rPr>
        <sz val="9"/>
        <rFont val="Arial"/>
        <family val="0"/>
        <charset val="1"/>
      </rPr>
      <t xml:space="preserve">) / 40</t>
    </r>
    <r>
      <rPr>
        <sz val="9"/>
        <rFont val="Noto Sans CJK SC"/>
        <family val="2"/>
      </rPr>
      <t xml:space="preserve">〜</t>
    </r>
    <r>
      <rPr>
        <sz val="9"/>
        <rFont val="Arial"/>
        <family val="0"/>
        <charset val="1"/>
      </rPr>
      <t xml:space="preserve">80: </t>
    </r>
    <r>
      <rPr>
        <sz val="9"/>
        <rFont val="Noto Sans CJK SC"/>
        <family val="2"/>
      </rPr>
      <t xml:space="preserve">要注意</t>
    </r>
    <r>
      <rPr>
        <sz val="9"/>
        <rFont val="Arial"/>
        <family val="0"/>
        <charset val="1"/>
      </rPr>
      <t xml:space="preserve">(1</t>
    </r>
    <r>
      <rPr>
        <sz val="9"/>
        <rFont val="Noto Sans CJK SC"/>
        <family val="2"/>
      </rPr>
      <t xml:space="preserve">〜</t>
    </r>
    <r>
      <rPr>
        <sz val="9"/>
        <rFont val="Arial"/>
        <family val="0"/>
        <charset val="1"/>
      </rPr>
      <t xml:space="preserve">2</t>
    </r>
    <r>
      <rPr>
        <sz val="9"/>
        <rFont val="Noto Sans CJK SC"/>
        <family val="2"/>
      </rPr>
      <t xml:space="preserve">人のみ</t>
    </r>
    <r>
      <rPr>
        <sz val="9"/>
        <rFont val="Arial"/>
        <family val="0"/>
        <charset val="1"/>
      </rPr>
      <t xml:space="preserve">) / 40</t>
    </r>
    <r>
      <rPr>
        <sz val="9"/>
        <rFont val="Noto Sans CJK SC"/>
        <family val="2"/>
      </rPr>
      <t xml:space="preserve">未満</t>
    </r>
    <r>
      <rPr>
        <sz val="9"/>
        <rFont val="Arial"/>
        <family val="0"/>
        <charset val="1"/>
      </rPr>
      <t xml:space="preserve">: </t>
    </r>
    <r>
      <rPr>
        <sz val="9"/>
        <rFont val="Noto Sans CJK SC"/>
        <family val="2"/>
      </rPr>
      <t xml:space="preserve">危険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対応者ほぼ不在</t>
    </r>
    <r>
      <rPr>
        <sz val="9"/>
        <rFont val="Arial"/>
        <family val="0"/>
        <charset val="1"/>
      </rPr>
      <t xml:space="preserve">)</t>
    </r>
  </si>
  <si>
    <t xml:space="preserve">資格充足率が低い</t>
  </si>
  <si>
    <r>
      <rPr>
        <sz val="11"/>
        <color theme="1"/>
        <rFont val="Noto Sans CJK SC"/>
        <family val="2"/>
      </rPr>
      <t xml:space="preserve">実務はこなせているが、必要な資格を持たないまま対応している人がいる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安全・法令上のリスク</t>
    </r>
    <r>
      <rPr>
        <sz val="11"/>
        <color theme="1"/>
        <rFont val="Calibri"/>
        <family val="2"/>
        <charset val="1"/>
      </rPr>
      <t xml:space="preserve">)</t>
    </r>
  </si>
  <si>
    <r>
      <rPr>
        <sz val="9"/>
        <rFont val="Arial"/>
        <family val="0"/>
        <charset val="1"/>
      </rPr>
      <t xml:space="preserve">80%</t>
    </r>
    <r>
      <rPr>
        <sz val="9"/>
        <rFont val="Noto Sans CJK SC"/>
        <family val="2"/>
      </rPr>
      <t xml:space="preserve">以上</t>
    </r>
    <r>
      <rPr>
        <sz val="9"/>
        <rFont val="Arial"/>
        <family val="0"/>
        <charset val="1"/>
      </rPr>
      <t xml:space="preserve">: </t>
    </r>
    <r>
      <rPr>
        <sz val="9"/>
        <rFont val="Noto Sans CJK SC"/>
        <family val="2"/>
      </rPr>
      <t xml:space="preserve">良好 </t>
    </r>
    <r>
      <rPr>
        <sz val="9"/>
        <rFont val="Arial"/>
        <family val="0"/>
        <charset val="1"/>
      </rPr>
      <t xml:space="preserve">/ 50</t>
    </r>
    <r>
      <rPr>
        <sz val="9"/>
        <rFont val="Noto Sans CJK SC"/>
        <family val="2"/>
      </rPr>
      <t xml:space="preserve">〜</t>
    </r>
    <r>
      <rPr>
        <sz val="9"/>
        <rFont val="Arial"/>
        <family val="0"/>
        <charset val="1"/>
      </rPr>
      <t xml:space="preserve">80%: </t>
    </r>
    <r>
      <rPr>
        <sz val="9"/>
        <rFont val="Noto Sans CJK SC"/>
        <family val="2"/>
      </rPr>
      <t xml:space="preserve">要改善 </t>
    </r>
    <r>
      <rPr>
        <sz val="9"/>
        <rFont val="Arial"/>
        <family val="0"/>
        <charset val="1"/>
      </rPr>
      <t xml:space="preserve">/ 50%</t>
    </r>
    <r>
      <rPr>
        <sz val="9"/>
        <rFont val="Noto Sans CJK SC"/>
        <family val="2"/>
      </rPr>
      <t xml:space="preserve">未満</t>
    </r>
    <r>
      <rPr>
        <sz val="9"/>
        <rFont val="Arial"/>
        <family val="0"/>
        <charset val="1"/>
      </rPr>
      <t xml:space="preserve">: </t>
    </r>
    <r>
      <rPr>
        <sz val="9"/>
        <rFont val="Noto Sans CJK SC"/>
        <family val="2"/>
      </rPr>
      <t xml:space="preserve">リスク大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無資格対応が多い</t>
    </r>
    <r>
      <rPr>
        <sz val="9"/>
        <rFont val="Arial"/>
        <family val="0"/>
        <charset val="1"/>
      </rPr>
      <t xml:space="preserve">)</t>
    </r>
  </si>
  <si>
    <t xml:space="preserve">バックアップ率が低い</t>
  </si>
  <si>
    <r>
      <rPr>
        <sz val="11"/>
        <color theme="1"/>
        <rFont val="Noto Sans CJK SC"/>
        <family val="2"/>
      </rPr>
      <t xml:space="preserve">誰か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人が抜けると、代わりを探すのに毎回一苦労する</t>
    </r>
  </si>
  <si>
    <r>
      <rPr>
        <sz val="9"/>
        <rFont val="Arial"/>
        <family val="0"/>
        <charset val="1"/>
      </rPr>
      <t xml:space="preserve">70%</t>
    </r>
    <r>
      <rPr>
        <sz val="9"/>
        <rFont val="Noto Sans CJK SC"/>
        <family val="2"/>
      </rPr>
      <t xml:space="preserve">以上</t>
    </r>
    <r>
      <rPr>
        <sz val="9"/>
        <rFont val="Arial"/>
        <family val="0"/>
        <charset val="1"/>
      </rPr>
      <t xml:space="preserve">: </t>
    </r>
    <r>
      <rPr>
        <sz val="9"/>
        <rFont val="Noto Sans CJK SC"/>
        <family val="2"/>
      </rPr>
      <t xml:space="preserve">良好 </t>
    </r>
    <r>
      <rPr>
        <sz val="9"/>
        <rFont val="Arial"/>
        <family val="0"/>
        <charset val="1"/>
      </rPr>
      <t xml:space="preserve">/ 40</t>
    </r>
    <r>
      <rPr>
        <sz val="9"/>
        <rFont val="Noto Sans CJK SC"/>
        <family val="2"/>
      </rPr>
      <t xml:space="preserve">〜</t>
    </r>
    <r>
      <rPr>
        <sz val="9"/>
        <rFont val="Arial"/>
        <family val="0"/>
        <charset val="1"/>
      </rPr>
      <t xml:space="preserve">70%: </t>
    </r>
    <r>
      <rPr>
        <sz val="9"/>
        <rFont val="Noto Sans CJK SC"/>
        <family val="2"/>
      </rPr>
      <t xml:space="preserve">要改善 </t>
    </r>
    <r>
      <rPr>
        <sz val="9"/>
        <rFont val="Arial"/>
        <family val="0"/>
        <charset val="1"/>
      </rPr>
      <t xml:space="preserve">/ 40%</t>
    </r>
    <r>
      <rPr>
        <sz val="9"/>
        <rFont val="Noto Sans CJK SC"/>
        <family val="2"/>
      </rPr>
      <t xml:space="preserve">未満</t>
    </r>
    <r>
      <rPr>
        <sz val="9"/>
        <rFont val="Arial"/>
        <family val="0"/>
        <charset val="1"/>
      </rPr>
      <t xml:space="preserve">: </t>
    </r>
    <r>
      <rPr>
        <sz val="9"/>
        <rFont val="Noto Sans CJK SC"/>
        <family val="2"/>
      </rPr>
      <t xml:space="preserve">リスク大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誰も代われない</t>
    </r>
    <r>
      <rPr>
        <sz val="9"/>
        <rFont val="Arial"/>
        <family val="0"/>
        <charset val="1"/>
      </rPr>
      <t xml:space="preserve">)</t>
    </r>
  </si>
  <si>
    <t xml:space="preserve">変更耐性が低い</t>
  </si>
  <si>
    <t xml:space="preserve">急な欠勤・退職が出ると、その日のシフトが即座に組めなくなる</t>
  </si>
  <si>
    <r>
      <rPr>
        <sz val="9"/>
        <rFont val="Arial"/>
        <family val="0"/>
        <charset val="1"/>
      </rPr>
      <t xml:space="preserve">80</t>
    </r>
    <r>
      <rPr>
        <sz val="9"/>
        <rFont val="Noto Sans CJK SC"/>
        <family val="2"/>
      </rPr>
      <t xml:space="preserve">以上</t>
    </r>
    <r>
      <rPr>
        <sz val="9"/>
        <rFont val="Arial"/>
        <family val="0"/>
        <charset val="1"/>
      </rPr>
      <t xml:space="preserve">: </t>
    </r>
    <r>
      <rPr>
        <sz val="9"/>
        <rFont val="Noto Sans CJK SC"/>
        <family val="2"/>
      </rPr>
      <t xml:space="preserve">安全 </t>
    </r>
    <r>
      <rPr>
        <sz val="9"/>
        <rFont val="Arial"/>
        <family val="0"/>
        <charset val="1"/>
      </rPr>
      <t xml:space="preserve">/ 40</t>
    </r>
    <r>
      <rPr>
        <sz val="9"/>
        <rFont val="Noto Sans CJK SC"/>
        <family val="2"/>
      </rPr>
      <t xml:space="preserve">〜</t>
    </r>
    <r>
      <rPr>
        <sz val="9"/>
        <rFont val="Arial"/>
        <family val="0"/>
        <charset val="1"/>
      </rPr>
      <t xml:space="preserve">80: </t>
    </r>
    <r>
      <rPr>
        <sz val="9"/>
        <rFont val="Noto Sans CJK SC"/>
        <family val="2"/>
      </rPr>
      <t xml:space="preserve">要注意 </t>
    </r>
    <r>
      <rPr>
        <sz val="9"/>
        <rFont val="Arial"/>
        <family val="0"/>
        <charset val="1"/>
      </rPr>
      <t xml:space="preserve">/ 40</t>
    </r>
    <r>
      <rPr>
        <sz val="9"/>
        <rFont val="Noto Sans CJK SC"/>
        <family val="2"/>
      </rPr>
      <t xml:space="preserve">未満</t>
    </r>
    <r>
      <rPr>
        <sz val="9"/>
        <rFont val="Arial"/>
        <family val="0"/>
        <charset val="1"/>
      </rPr>
      <t xml:space="preserve">: </t>
    </r>
    <r>
      <rPr>
        <sz val="9"/>
        <rFont val="Noto Sans CJK SC"/>
        <family val="2"/>
      </rPr>
      <t xml:space="preserve">危険</t>
    </r>
    <r>
      <rPr>
        <sz val="9"/>
        <rFont val="Arial"/>
        <family val="0"/>
        <charset val="1"/>
      </rPr>
      <t xml:space="preserve">(1</t>
    </r>
    <r>
      <rPr>
        <sz val="9"/>
        <rFont val="Noto Sans CJK SC"/>
        <family val="2"/>
      </rPr>
      <t xml:space="preserve">人抜けたら即機能不全</t>
    </r>
    <r>
      <rPr>
        <sz val="9"/>
        <rFont val="Arial"/>
        <family val="0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</si>
  <si>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教育達成率</t>
    </r>
    <r>
      <rPr>
        <sz val="11"/>
        <color theme="1"/>
        <rFont val="Calibri"/>
        <family val="2"/>
        <charset val="1"/>
      </rPr>
      <t xml:space="preserve">41.3</t>
    </r>
    <r>
      <rPr>
        <sz val="11"/>
        <color theme="1"/>
        <rFont val="Noto Sans CJK SC"/>
        <family val="2"/>
      </rPr>
      <t xml:space="preserve">・資格充足率</t>
    </r>
    <r>
      <rPr>
        <sz val="11"/>
        <color theme="1"/>
        <rFont val="Calibri"/>
        <family val="2"/>
        <charset val="1"/>
      </rPr>
      <t xml:space="preserve">50.0</t>
    </r>
    <r>
      <rPr>
        <sz val="11"/>
        <color theme="1"/>
        <rFont val="Noto Sans CJK SC"/>
        <family val="2"/>
      </rPr>
      <t xml:space="preserve">が低い → 上記の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番目・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番目のパターンに近い</t>
    </r>
  </si>
  <si>
    <t xml:space="preserve">STEP3</t>
  </si>
  <si>
    <t xml:space="preserve">原因の場所を特定する</t>
  </si>
  <si>
    <t xml:space="preserve">教育達成率が低い場合</t>
  </si>
  <si>
    <t xml:space="preserve">「頭打ち箇所と対応案」シートで、どのチーム・設備に教育担当が不在かを確認する</t>
  </si>
  <si>
    <t xml:space="preserve">資格充足率が低い場合</t>
  </si>
  <si>
    <t xml:space="preserve">「シフト健全度」シートの資格充足率内訳で、どの設備の資格保有者が少ないかを確認する</t>
  </si>
  <si>
    <r>
      <rPr>
        <sz val="11"/>
        <color theme="1"/>
        <rFont val="Noto Sans CJK SC"/>
        <family val="2"/>
      </rPr>
      <t xml:space="preserve">チーム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・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に教育担当が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人もいない。電気工事士・冷凍機械責任者の保有者が少ない</t>
    </r>
  </si>
  <si>
    <t xml:space="preserve">STEP4</t>
  </si>
  <si>
    <t xml:space="preserve">対応案を選ぶ</t>
  </si>
  <si>
    <r>
      <rPr>
        <sz val="11"/>
        <color theme="1"/>
        <rFont val="Noto Sans CJK SC"/>
        <family val="2"/>
      </rPr>
      <t xml:space="preserve">「頭打ち箇所と対応案」シートの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案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内部昇格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他チーム応援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常駐化</t>
    </r>
    <r>
      <rPr>
        <sz val="11"/>
        <color theme="1"/>
        <rFont val="Calibri"/>
        <family val="2"/>
        <charset val="1"/>
      </rPr>
      <t xml:space="preserve">+</t>
    </r>
    <r>
      <rPr>
        <sz val="11"/>
        <color theme="1"/>
        <rFont val="Noto Sans CJK SC"/>
        <family val="2"/>
      </rPr>
      <t xml:space="preserve">ローテーション制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チーム編成の見直し</t>
    </r>
    <r>
      <rPr>
        <sz val="11"/>
        <color theme="1"/>
        <rFont val="Calibri"/>
        <family val="2"/>
        <charset val="1"/>
      </rPr>
      <t xml:space="preserve">)</t>
    </r>
  </si>
  <si>
    <t xml:space="preserve">選び方の目安</t>
  </si>
  <si>
    <t xml:space="preserve">即効性重視なら他チームからの応援、恒久的な解決を目指すなら内部昇格やチーム編成の見直し</t>
  </si>
  <si>
    <t xml:space="preserve">STEP5</t>
  </si>
  <si>
    <t xml:space="preserve">個別の希望休を判断する</t>
  </si>
  <si>
    <r>
      <rPr>
        <sz val="11"/>
        <color theme="1"/>
        <rFont val="Noto Sans CJK SC"/>
        <family val="2"/>
      </rPr>
      <t xml:space="preserve">「希望休申請一覧」シートの判定列</t>
    </r>
    <r>
      <rPr>
        <sz val="11"/>
        <color theme="1"/>
        <rFont val="Calibri"/>
        <family val="2"/>
        <charset val="1"/>
      </rPr>
      <t xml:space="preserve">(G</t>
    </r>
    <r>
      <rPr>
        <sz val="11"/>
        <color theme="1"/>
        <rFont val="Noto Sans CJK SC"/>
        <family val="2"/>
      </rPr>
      <t xml:space="preserve">列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・必要人数列</t>
    </r>
    <r>
      <rPr>
        <sz val="11"/>
        <color theme="1"/>
        <rFont val="Calibri"/>
        <family val="2"/>
        <charset val="1"/>
      </rPr>
      <t xml:space="preserve">(K</t>
    </r>
    <r>
      <rPr>
        <sz val="11"/>
        <color theme="1"/>
        <rFont val="Noto Sans CJK SC"/>
        <family val="2"/>
      </rPr>
      <t xml:space="preserve">列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・交代要員の提案列</t>
    </r>
    <r>
      <rPr>
        <sz val="11"/>
        <color theme="1"/>
        <rFont val="Calibri"/>
        <family val="2"/>
        <charset val="1"/>
      </rPr>
      <t xml:space="preserve">(L</t>
    </r>
    <r>
      <rPr>
        <sz val="11"/>
        <color theme="1"/>
        <rFont val="Noto Sans CJK SC"/>
        <family val="2"/>
      </rPr>
      <t xml:space="preserve">列</t>
    </r>
    <r>
      <rPr>
        <sz val="11"/>
        <color theme="1"/>
        <rFont val="Calibri"/>
        <family val="2"/>
        <charset val="1"/>
      </rPr>
      <t xml:space="preserve">)</t>
    </r>
  </si>
  <si>
    <t xml:space="preserve">判断の目安</t>
  </si>
  <si>
    <r>
      <rPr>
        <sz val="11"/>
        <color theme="1"/>
        <rFont val="Noto Sans CJK SC"/>
        <family val="2"/>
      </rPr>
      <t xml:space="preserve">早番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は交代不要。早番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・夜勤で交代要員が提案されていれば、その人に打診したうえで承認する</t>
    </r>
  </si>
  <si>
    <t xml:space="preserve">どうしても休む場合</t>
  </si>
  <si>
    <r>
      <rPr>
        <sz val="9"/>
        <color rgb="FFB04A2E"/>
        <rFont val="Noto Sans CJK SC"/>
        <family val="2"/>
      </rPr>
      <t xml:space="preserve">交代要員の「候補提案」まではシステムが自動で行うが、実際にシフト表へ反映し本人へ連絡するのは管理者の役割。</t>
    </r>
    <r>
      <rPr>
        <sz val="9"/>
        <color rgb="FFB04A2E"/>
        <rFont val="Arial"/>
        <family val="0"/>
        <charset val="1"/>
      </rPr>
      <t xml:space="preserve">L</t>
    </r>
    <r>
      <rPr>
        <sz val="9"/>
        <color rgb="FFB04A2E"/>
        <rFont val="Noto Sans CJK SC"/>
        <family val="2"/>
      </rPr>
      <t xml:space="preserve">列に候補が出ない場合は</t>
    </r>
    <r>
      <rPr>
        <sz val="9"/>
        <color rgb="FFB04A2E"/>
        <rFont val="Arial"/>
        <family val="0"/>
        <charset val="1"/>
      </rPr>
      <t xml:space="preserve">STEP4</t>
    </r>
    <r>
      <rPr>
        <sz val="9"/>
        <color rgb="FFB04A2E"/>
        <rFont val="Noto Sans CJK SC"/>
        <family val="2"/>
      </rPr>
      <t xml:space="preserve">の対応案も検討する</t>
    </r>
  </si>
  <si>
    <t xml:space="preserve">STEP6</t>
  </si>
  <si>
    <t xml:space="preserve">実行して効果を追跡する</t>
  </si>
  <si>
    <t xml:space="preserve">実行</t>
  </si>
  <si>
    <t xml:space="preserve">選んだ対応策を来月のシフトに反映する</t>
  </si>
  <si>
    <t xml:space="preserve">効果の確認</t>
  </si>
  <si>
    <r>
      <rPr>
        <sz val="11"/>
        <color theme="1"/>
        <rFont val="Calibri"/>
        <family val="2"/>
        <charset val="1"/>
      </rPr>
      <t xml:space="preserve">python src/future_simulation.py </t>
    </r>
    <r>
      <rPr>
        <sz val="11"/>
        <color theme="1"/>
        <rFont val="Noto Sans CJK SC"/>
        <family val="2"/>
      </rPr>
      <t xml:space="preserve">を実行すると、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・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・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ヶ月後の健全度予測が再計算できる</t>
    </r>
  </si>
  <si>
    <t xml:space="preserve">STEP0</t>
  </si>
  <si>
    <t xml:space="preserve">【メンバー向け】スマホで健全度を見てから希望休を申請する</t>
  </si>
  <si>
    <t xml:space="preserve">使うもの</t>
  </si>
  <si>
    <r>
      <rPr>
        <sz val="11"/>
        <color theme="1"/>
        <rFont val="Calibri"/>
        <family val="2"/>
        <charset val="1"/>
      </rPr>
      <t xml:space="preserve">dashboard/ShiftDashboard.jsx(</t>
    </r>
    <r>
      <rPr>
        <sz val="11"/>
        <color theme="1"/>
        <rFont val="Noto Sans CJK SC"/>
        <family val="2"/>
      </rPr>
      <t xml:space="preserve">スマホのブラウザ</t>
    </r>
    <r>
      <rPr>
        <sz val="11"/>
        <color theme="1"/>
        <rFont val="Calibri"/>
        <family val="2"/>
        <charset val="1"/>
      </rPr>
      <t xml:space="preserve">/claude.ai</t>
    </r>
    <r>
      <rPr>
        <sz val="11"/>
        <color theme="1"/>
        <rFont val="Noto Sans CJK SC"/>
        <family val="2"/>
      </rPr>
      <t xml:space="preserve">のアーティファクトとして動作</t>
    </r>
    <r>
      <rPr>
        <sz val="11"/>
        <color theme="1"/>
        <rFont val="Calibri"/>
        <family val="2"/>
        <charset val="1"/>
      </rPr>
      <t xml:space="preserve">)</t>
    </r>
  </si>
  <si>
    <r>
      <rPr>
        <b val="true"/>
        <sz val="9"/>
        <color rgb="FF5A6472"/>
        <rFont val="Noto Sans CJK SC"/>
        <family val="2"/>
      </rPr>
      <t xml:space="preserve">手順</t>
    </r>
    <r>
      <rPr>
        <b val="true"/>
        <sz val="9"/>
        <color rgb="FF5A6472"/>
        <rFont val="Arial"/>
        <family val="0"/>
        <charset val="1"/>
      </rPr>
      <t xml:space="preserve">1</t>
    </r>
  </si>
  <si>
    <t xml:space="preserve">ダッシュボードを開き、メンバービューで自分の名前を選ぶ</t>
  </si>
  <si>
    <r>
      <rPr>
        <b val="true"/>
        <sz val="9"/>
        <color rgb="FF5A6472"/>
        <rFont val="Noto Sans CJK SC"/>
        <family val="2"/>
      </rPr>
      <t xml:space="preserve">手順</t>
    </r>
    <r>
      <rPr>
        <b val="true"/>
        <sz val="9"/>
        <color rgb="FF5A6472"/>
        <rFont val="Arial"/>
        <family val="0"/>
        <charset val="1"/>
      </rPr>
      <t xml:space="preserve">2</t>
    </r>
  </si>
  <si>
    <r>
      <rPr>
        <sz val="11"/>
        <color theme="1"/>
        <rFont val="Noto Sans CJK SC"/>
        <family val="2"/>
      </rPr>
      <t xml:space="preserve">画面上部に表示される『現在の健全度』を見る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このデモではメンバー全員が同じ数値を見る組織全体の健全度</t>
    </r>
    <r>
      <rPr>
        <sz val="11"/>
        <color theme="1"/>
        <rFont val="Calibri"/>
        <family val="2"/>
        <charset val="1"/>
      </rPr>
      <t xml:space="preserve">)</t>
    </r>
  </si>
  <si>
    <r>
      <rPr>
        <b val="true"/>
        <sz val="9"/>
        <color rgb="FF5A6472"/>
        <rFont val="Noto Sans CJK SC"/>
        <family val="2"/>
      </rPr>
      <t xml:space="preserve">手順</t>
    </r>
    <r>
      <rPr>
        <b val="true"/>
        <sz val="9"/>
        <color rgb="FF5A6472"/>
        <rFont val="Arial"/>
        <family val="0"/>
        <charset val="1"/>
      </rPr>
      <t xml:space="preserve">3</t>
    </r>
  </si>
  <si>
    <t xml:space="preserve">自分のシフトを確認し、休みたい日付・理由を入力して申請する</t>
  </si>
  <si>
    <r>
      <rPr>
        <b val="true"/>
        <sz val="9"/>
        <color rgb="FF5A6472"/>
        <rFont val="Noto Sans CJK SC"/>
        <family val="2"/>
      </rPr>
      <t xml:space="preserve">手順</t>
    </r>
    <r>
      <rPr>
        <b val="true"/>
        <sz val="9"/>
        <color rgb="FF5A6472"/>
        <rFont val="Arial"/>
        <family val="0"/>
        <charset val="1"/>
      </rPr>
      <t xml:space="preserve">4</t>
    </r>
  </si>
  <si>
    <r>
      <rPr>
        <sz val="11"/>
        <color theme="1"/>
        <rFont val="Noto Sans CJK SC"/>
        <family val="2"/>
      </rPr>
      <t xml:space="preserve">申請は管理者ビューに即時反映され、承認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却下の結果もこの画面に表示される</t>
    </r>
  </si>
  <si>
    <t xml:space="preserve">現状の制約</t>
  </si>
  <si>
    <r>
      <rPr>
        <sz val="9"/>
        <color rgb="FFB04A2E"/>
        <rFont val="Noto Sans CJK SC"/>
        <family val="2"/>
      </rPr>
      <t xml:space="preserve">『この日にこの人が休んだら健全度が何点になるか』という個人単位のシミュレーションは、現バージョンでは管理者ビュー側</t>
    </r>
    <r>
      <rPr>
        <sz val="9"/>
        <color rgb="FFB04A2E"/>
        <rFont val="Arial"/>
        <family val="0"/>
        <charset val="1"/>
      </rPr>
      <t xml:space="preserve">(STEP4</t>
    </r>
    <r>
      <rPr>
        <sz val="9"/>
        <color rgb="FFB04A2E"/>
        <rFont val="Noto Sans CJK SC"/>
        <family val="2"/>
      </rPr>
      <t xml:space="preserve">・</t>
    </r>
    <r>
      <rPr>
        <sz val="9"/>
        <color rgb="FFB04A2E"/>
        <rFont val="Arial"/>
        <family val="0"/>
        <charset val="1"/>
      </rPr>
      <t xml:space="preserve">5)</t>
    </r>
    <r>
      <rPr>
        <sz val="9"/>
        <color rgb="FFB04A2E"/>
        <rFont val="Noto Sans CJK SC"/>
        <family val="2"/>
      </rPr>
      <t xml:space="preserve">でのみ確認できる。メンバー個人向けのシミュレーションは</t>
    </r>
    <r>
      <rPr>
        <sz val="9"/>
        <color rgb="FFB04A2E"/>
        <rFont val="Arial"/>
        <family val="0"/>
        <charset val="1"/>
      </rPr>
      <t xml:space="preserve">V2</t>
    </r>
    <r>
      <rPr>
        <sz val="9"/>
        <color rgb="FFB04A2E"/>
        <rFont val="Noto Sans CJK SC"/>
        <family val="2"/>
      </rPr>
      <t xml:space="preserve">で検討</t>
    </r>
  </si>
  <si>
    <r>
      <rPr>
        <b val="true"/>
        <sz val="16"/>
        <rFont val="Noto Sans CJK SC"/>
        <family val="2"/>
      </rPr>
      <t xml:space="preserve">シフト健全度レポート</t>
    </r>
    <r>
      <rPr>
        <b val="true"/>
        <sz val="16"/>
        <rFont val="Arial"/>
        <family val="0"/>
        <charset val="1"/>
      </rPr>
      <t xml:space="preserve">(2026</t>
    </r>
    <r>
      <rPr>
        <b val="true"/>
        <sz val="16"/>
        <rFont val="Noto Sans CJK SC"/>
        <family val="2"/>
      </rPr>
      <t xml:space="preserve">年</t>
    </r>
    <r>
      <rPr>
        <b val="true"/>
        <sz val="16"/>
        <rFont val="Arial"/>
        <family val="0"/>
        <charset val="1"/>
      </rPr>
      <t xml:space="preserve">8</t>
    </r>
    <r>
      <rPr>
        <b val="true"/>
        <sz val="16"/>
        <rFont val="Noto Sans CJK SC"/>
        <family val="2"/>
      </rPr>
      <t xml:space="preserve">月時点</t>
    </r>
    <r>
      <rPr>
        <b val="true"/>
        <sz val="16"/>
        <rFont val="Arial"/>
        <family val="0"/>
        <charset val="1"/>
      </rPr>
      <t xml:space="preserve">)</t>
    </r>
  </si>
  <si>
    <t xml:space="preserve">総合健全度スコア</t>
  </si>
  <si>
    <t xml:space="preserve">判定</t>
  </si>
  <si>
    <t xml:space="preserve">スコア</t>
  </si>
  <si>
    <t xml:space="preserve">教育達成率</t>
  </si>
  <si>
    <t xml:space="preserve">属人化耐性</t>
  </si>
  <si>
    <t xml:space="preserve">資格充足率</t>
  </si>
  <si>
    <t xml:space="preserve">バックアップ率</t>
  </si>
  <si>
    <t xml:space="preserve">変更耐性</t>
  </si>
  <si>
    <r>
      <rPr>
        <b val="true"/>
        <sz val="11"/>
        <rFont val="Noto Sans CJK SC"/>
        <family val="2"/>
      </rPr>
      <t xml:space="preserve">属人化耐性 内訳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設備別</t>
    </r>
    <r>
      <rPr>
        <b val="true"/>
        <sz val="11"/>
        <rFont val="Arial"/>
        <family val="0"/>
        <charset val="1"/>
      </rPr>
      <t xml:space="preserve">: </t>
    </r>
    <r>
      <rPr>
        <b val="true"/>
        <sz val="11"/>
        <rFont val="Noto Sans CJK SC"/>
        <family val="2"/>
      </rPr>
      <t xml:space="preserve">単独対応以上の人数</t>
    </r>
    <r>
      <rPr>
        <b val="true"/>
        <sz val="11"/>
        <rFont val="Arial"/>
        <family val="0"/>
        <charset val="1"/>
      </rPr>
      <t xml:space="preserve">)</t>
    </r>
  </si>
  <si>
    <t xml:space="preserve">設備</t>
  </si>
  <si>
    <t xml:space="preserve">人数</t>
  </si>
  <si>
    <t xml:space="preserve">受変電設備</t>
  </si>
  <si>
    <t xml:space="preserve">空調設備</t>
  </si>
  <si>
    <t xml:space="preserve">消防設備</t>
  </si>
  <si>
    <t xml:space="preserve">監視盤</t>
  </si>
  <si>
    <r>
      <rPr>
        <b val="true"/>
        <sz val="11"/>
        <rFont val="Noto Sans CJK SC"/>
        <family val="2"/>
      </rPr>
      <t xml:space="preserve">属人化耐性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総合</t>
    </r>
    <r>
      <rPr>
        <b val="true"/>
        <sz val="11"/>
        <rFont val="Arial"/>
        <family val="0"/>
        <charset val="1"/>
      </rPr>
      <t xml:space="preserve">)</t>
    </r>
  </si>
  <si>
    <r>
      <rPr>
        <b val="true"/>
        <sz val="11"/>
        <rFont val="Noto Sans CJK SC"/>
        <family val="2"/>
      </rPr>
      <t xml:space="preserve">変更耐性 内訳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チーム別</t>
    </r>
    <r>
      <rPr>
        <b val="true"/>
        <sz val="11"/>
        <rFont val="Arial"/>
        <family val="0"/>
        <charset val="1"/>
      </rPr>
      <t xml:space="preserve">: </t>
    </r>
    <r>
      <rPr>
        <b val="true"/>
        <sz val="11"/>
        <rFont val="Noto Sans CJK SC"/>
        <family val="2"/>
      </rPr>
      <t xml:space="preserve">単独対応可能人数</t>
    </r>
    <r>
      <rPr>
        <b val="true"/>
        <sz val="11"/>
        <rFont val="Arial"/>
        <family val="0"/>
        <charset val="1"/>
      </rPr>
      <t xml:space="preserve">)</t>
    </r>
  </si>
  <si>
    <t xml:space="preserve">チーム</t>
  </si>
  <si>
    <t xml:space="preserve">単独対応可能人数</t>
  </si>
  <si>
    <t xml:space="preserve">チーム人数</t>
  </si>
  <si>
    <t xml:space="preserve">A</t>
  </si>
  <si>
    <t xml:space="preserve">B</t>
  </si>
  <si>
    <t xml:space="preserve">C</t>
  </si>
  <si>
    <t xml:space="preserve">D</t>
  </si>
  <si>
    <t xml:space="preserve">E</t>
  </si>
  <si>
    <r>
      <rPr>
        <b val="true"/>
        <sz val="11"/>
        <rFont val="Noto Sans CJK SC"/>
        <family val="2"/>
      </rPr>
      <t xml:space="preserve">変更耐性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総合</t>
    </r>
    <r>
      <rPr>
        <b val="true"/>
        <sz val="11"/>
        <rFont val="Arial"/>
        <family val="0"/>
        <charset val="1"/>
      </rPr>
      <t xml:space="preserve">)</t>
    </r>
  </si>
  <si>
    <r>
      <rPr>
        <b val="true"/>
        <sz val="11"/>
        <rFont val="Noto Sans CJK SC"/>
        <family val="2"/>
      </rPr>
      <t xml:space="preserve">資格充足率 内訳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単独対応以上かつ必要資格を保有</t>
    </r>
    <r>
      <rPr>
        <b val="true"/>
        <sz val="11"/>
        <rFont val="Arial"/>
        <family val="0"/>
        <charset val="1"/>
      </rPr>
      <t xml:space="preserve">)</t>
    </r>
  </si>
  <si>
    <t xml:space="preserve">対象人数</t>
  </si>
  <si>
    <t xml:space="preserve">資格保有人数</t>
  </si>
  <si>
    <r>
      <rPr>
        <b val="true"/>
        <sz val="11"/>
        <rFont val="Noto Sans CJK SC"/>
        <family val="2"/>
      </rPr>
      <t xml:space="preserve">資格充足率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総合</t>
    </r>
    <r>
      <rPr>
        <b val="true"/>
        <sz val="11"/>
        <rFont val="Arial"/>
        <family val="0"/>
        <charset val="1"/>
      </rPr>
      <t xml:space="preserve">)</t>
    </r>
  </si>
  <si>
    <r>
      <rPr>
        <b val="true"/>
        <sz val="11"/>
        <rFont val="Noto Sans CJK SC"/>
        <family val="2"/>
      </rPr>
      <t xml:space="preserve">今月の早番</t>
    </r>
    <r>
      <rPr>
        <b val="true"/>
        <sz val="11"/>
        <rFont val="Arial"/>
        <family val="0"/>
        <charset val="1"/>
      </rPr>
      <t xml:space="preserve">A(</t>
    </r>
    <r>
      <rPr>
        <b val="true"/>
        <sz val="11"/>
        <rFont val="Noto Sans CJK SC"/>
        <family val="2"/>
      </rPr>
      <t xml:space="preserve">教育投資枠</t>
    </r>
    <r>
      <rPr>
        <b val="true"/>
        <sz val="11"/>
        <rFont val="Arial"/>
        <family val="0"/>
        <charset val="1"/>
      </rPr>
      <t xml:space="preserve">)</t>
    </r>
    <r>
      <rPr>
        <b val="true"/>
        <sz val="11"/>
        <rFont val="Noto Sans CJK SC"/>
        <family val="2"/>
      </rPr>
      <t xml:space="preserve">活用回数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チーム別</t>
    </r>
    <r>
      <rPr>
        <b val="true"/>
        <sz val="11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</si>
  <si>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早</t>
    </r>
    <r>
      <rPr>
        <b val="true"/>
        <sz val="11"/>
        <color rgb="FFFFFFFF"/>
        <rFont val="Arial"/>
        <family val="0"/>
        <charset val="1"/>
      </rPr>
      <t xml:space="preserve">A</t>
    </r>
    <r>
      <rPr>
        <b val="true"/>
        <sz val="11"/>
        <color rgb="FFFFFFFF"/>
        <rFont val="Noto Sans CJK SC"/>
        <family val="2"/>
      </rPr>
      <t xml:space="preserve">回数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今月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</si>
  <si>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判定基準</t>
  </si>
  <si>
    <t xml:space="preserve">スコア帯</t>
  </si>
  <si>
    <t xml:space="preserve">意味</t>
  </si>
  <si>
    <r>
      <rPr>
        <sz val="11"/>
        <color theme="1"/>
        <rFont val="Calibri"/>
        <family val="2"/>
        <charset val="1"/>
      </rPr>
      <t xml:space="preserve">80</t>
    </r>
    <r>
      <rPr>
        <sz val="11"/>
        <color theme="1"/>
        <rFont val="Noto Sans CJK SC"/>
        <family val="2"/>
      </rPr>
      <t xml:space="preserve">以上</t>
    </r>
  </si>
  <si>
    <t xml:space="preserve">突発休暇が出ても、現状の体制で対応可能</t>
  </si>
  <si>
    <r>
      <rPr>
        <sz val="11"/>
        <color theme="1"/>
        <rFont val="Calibri"/>
        <family val="2"/>
        <charset val="1"/>
      </rPr>
      <t xml:space="preserve">60</t>
    </r>
    <r>
      <rPr>
        <sz val="11"/>
        <color theme="1"/>
        <rFont val="Noto Sans CJK SC"/>
        <family val="2"/>
      </rPr>
      <t xml:space="preserve">〜</t>
    </r>
    <r>
      <rPr>
        <sz val="11"/>
        <color theme="1"/>
        <rFont val="Calibri"/>
        <family val="2"/>
        <charset val="1"/>
      </rPr>
      <t xml:space="preserve">79</t>
    </r>
  </si>
  <si>
    <r>
      <rPr>
        <sz val="11"/>
        <color theme="1"/>
        <rFont val="Noto Sans CJK SC"/>
        <family val="2"/>
      </rPr>
      <t xml:space="preserve">通常は対応可能。ただしイベント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点検・試験等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が重なる場合は要注意</t>
    </r>
  </si>
  <si>
    <r>
      <rPr>
        <sz val="11"/>
        <color theme="1"/>
        <rFont val="Calibri"/>
        <family val="2"/>
        <charset val="1"/>
      </rPr>
      <t xml:space="preserve">60</t>
    </r>
    <r>
      <rPr>
        <sz val="11"/>
        <color theme="1"/>
        <rFont val="Noto Sans CJK SC"/>
        <family val="2"/>
      </rPr>
      <t xml:space="preserve">未満</t>
    </r>
  </si>
  <si>
    <t xml:space="preserve">事前にバックアップ要員の確保・出動が必要</t>
  </si>
  <si>
    <r>
      <rPr>
        <i val="true"/>
        <sz val="10"/>
        <rFont val="Noto Sans CJK SC"/>
        <family val="2"/>
      </rPr>
      <t xml:space="preserve">教育・資格取得を進めるほど「単独対応できる人」が増え、属人化耐性・資格充足率が上がり、シフト健全度全体が向上します。健全度が高いほど、突発的な欠勤や希望休があってもバックアップで対応でき、結果として希望休を安心して承認しやすくなります。
今月どれだけ早番</t>
    </r>
    <r>
      <rPr>
        <i val="true"/>
        <sz val="10"/>
        <rFont val="Arial"/>
        <family val="0"/>
        <charset val="1"/>
      </rPr>
      <t xml:space="preserve">A(</t>
    </r>
    <r>
      <rPr>
        <i val="true"/>
        <sz val="10"/>
        <rFont val="Noto Sans CJK SC"/>
        <family val="2"/>
      </rPr>
      <t xml:space="preserve">教育投資枠</t>
    </r>
    <r>
      <rPr>
        <i val="true"/>
        <sz val="10"/>
        <rFont val="Arial"/>
        <family val="0"/>
        <charset val="1"/>
      </rPr>
      <t xml:space="preserve">)</t>
    </r>
    <r>
      <rPr>
        <i val="true"/>
        <sz val="10"/>
        <rFont val="Noto Sans CJK SC"/>
        <family val="2"/>
      </rPr>
      <t xml:space="preserve">を教育に充てたかが、</t>
    </r>
    <r>
      <rPr>
        <i val="true"/>
        <sz val="10"/>
        <rFont val="Arial"/>
        <family val="0"/>
        <charset val="1"/>
      </rPr>
      <t xml:space="preserve">3</t>
    </r>
    <r>
      <rPr>
        <i val="true"/>
        <sz val="10"/>
        <rFont val="Noto Sans CJK SC"/>
        <family val="2"/>
      </rPr>
      <t xml:space="preserve">〜</t>
    </r>
    <r>
      <rPr>
        <i val="true"/>
        <sz val="10"/>
        <rFont val="Arial"/>
        <family val="0"/>
        <charset val="1"/>
      </rPr>
      <t xml:space="preserve">6</t>
    </r>
    <r>
      <rPr>
        <i val="true"/>
        <sz val="10"/>
        <rFont val="Noto Sans CJK SC"/>
        <family val="2"/>
      </rPr>
      <t xml:space="preserve">ヶ月後の健全度に直結します</t>
    </r>
    <r>
      <rPr>
        <i val="true"/>
        <sz val="10"/>
        <rFont val="Arial"/>
        <family val="0"/>
        <charset val="1"/>
      </rPr>
      <t xml:space="preserve">(3</t>
    </r>
    <r>
      <rPr>
        <i val="true"/>
        <sz val="10"/>
        <rFont val="Noto Sans CJK SC"/>
        <family val="2"/>
      </rPr>
      <t xml:space="preserve">ヶ月後・</t>
    </r>
    <r>
      <rPr>
        <i val="true"/>
        <sz val="10"/>
        <rFont val="Arial"/>
        <family val="0"/>
        <charset val="1"/>
      </rPr>
      <t xml:space="preserve">6</t>
    </r>
    <r>
      <rPr>
        <i val="true"/>
        <sz val="10"/>
        <rFont val="Noto Sans CJK SC"/>
        <family val="2"/>
      </rPr>
      <t xml:space="preserve">ヶ月後・</t>
    </r>
    <r>
      <rPr>
        <i val="true"/>
        <sz val="10"/>
        <rFont val="Arial"/>
        <family val="0"/>
        <charset val="1"/>
      </rPr>
      <t xml:space="preserve">1</t>
    </r>
    <r>
      <rPr>
        <i val="true"/>
        <sz val="10"/>
        <rFont val="Noto Sans CJK SC"/>
        <family val="2"/>
      </rPr>
      <t xml:space="preserve">年後の予測は</t>
    </r>
    <r>
      <rPr>
        <i val="true"/>
        <sz val="10"/>
        <rFont val="Arial"/>
        <family val="0"/>
        <charset val="1"/>
      </rPr>
      <t xml:space="preserve">STEP7</t>
    </r>
    <r>
      <rPr>
        <i val="true"/>
        <sz val="10"/>
        <rFont val="Noto Sans CJK SC"/>
        <family val="2"/>
      </rPr>
      <t xml:space="preserve">で追加予定</t>
    </r>
    <r>
      <rPr>
        <i val="true"/>
        <sz val="10"/>
        <rFont val="Arial"/>
        <family val="0"/>
        <charset val="1"/>
      </rPr>
      <t xml:space="preserve">)</t>
    </r>
    <r>
      <rPr>
        <i val="true"/>
        <sz val="10"/>
        <rFont val="Noto Sans CJK SC"/>
        <family val="2"/>
      </rPr>
      <t xml:space="preserve">。</t>
    </r>
  </si>
  <si>
    <t xml:space="preserve">氏名</t>
  </si>
  <si>
    <t xml:space="preserve">役職</t>
  </si>
  <si>
    <t xml:space="preserve">佐藤 一郎</t>
  </si>
  <si>
    <t xml:space="preserve">リーダー</t>
  </si>
  <si>
    <r>
      <rPr>
        <sz val="11"/>
        <rFont val="Noto Sans CJK SC"/>
        <family val="2"/>
      </rPr>
      <t xml:space="preserve">早</t>
    </r>
    <r>
      <rPr>
        <sz val="11"/>
        <rFont val="Arial"/>
        <family val="0"/>
        <charset val="1"/>
      </rPr>
      <t xml:space="preserve">A</t>
    </r>
  </si>
  <si>
    <r>
      <rPr>
        <sz val="11"/>
        <rFont val="Noto Sans CJK SC"/>
        <family val="2"/>
      </rPr>
      <t xml:space="preserve">早</t>
    </r>
    <r>
      <rPr>
        <sz val="11"/>
        <rFont val="Arial"/>
        <family val="0"/>
        <charset val="1"/>
      </rPr>
      <t xml:space="preserve">B</t>
    </r>
  </si>
  <si>
    <t xml:space="preserve">夜</t>
  </si>
  <si>
    <t xml:space="preserve">明</t>
  </si>
  <si>
    <t xml:space="preserve">休</t>
  </si>
  <si>
    <t xml:space="preserve">鈴木 次郎</t>
  </si>
  <si>
    <t xml:space="preserve">高橋 三郎</t>
  </si>
  <si>
    <t xml:space="preserve">田中 誠</t>
  </si>
  <si>
    <t xml:space="preserve">中堅</t>
  </si>
  <si>
    <t xml:space="preserve">伊藤 健太</t>
  </si>
  <si>
    <t xml:space="preserve">渡辺 修</t>
  </si>
  <si>
    <t xml:space="preserve">山本 隆</t>
  </si>
  <si>
    <t xml:space="preserve">中村 陽介</t>
  </si>
  <si>
    <t xml:space="preserve">一般</t>
  </si>
  <si>
    <t xml:space="preserve">小林 拓也</t>
  </si>
  <si>
    <t xml:space="preserve">加藤 大輔</t>
  </si>
  <si>
    <t xml:space="preserve">サブリーダー</t>
  </si>
  <si>
    <t xml:space="preserve">吉田 匠</t>
  </si>
  <si>
    <t xml:space="preserve">山田 悠斗</t>
  </si>
  <si>
    <t xml:space="preserve">新人</t>
  </si>
  <si>
    <t xml:space="preserve">佐々木 蓮</t>
  </si>
  <si>
    <t xml:space="preserve">松本 洋平</t>
  </si>
  <si>
    <t xml:space="preserve">井上 直樹</t>
  </si>
  <si>
    <r>
      <rPr>
        <b val="true"/>
        <sz val="11"/>
        <rFont val="Noto Sans CJK SC"/>
        <family val="2"/>
      </rPr>
      <t xml:space="preserve">凡例</t>
    </r>
    <r>
      <rPr>
        <b val="true"/>
        <sz val="11"/>
        <rFont val="Arial"/>
        <family val="0"/>
        <charset val="1"/>
      </rPr>
      <t xml:space="preserve">:</t>
    </r>
  </si>
  <si>
    <r>
      <rPr>
        <sz val="11"/>
        <color theme="1"/>
        <rFont val="Noto Sans CJK SC"/>
        <family val="2"/>
      </rPr>
      <t xml:space="preserve">早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</si>
  <si>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rFont val="Noto Sans CJK SC"/>
        <family val="2"/>
      </rPr>
      <t xml:space="preserve">早番</t>
    </r>
    <r>
      <rPr>
        <sz val="11"/>
        <rFont val="Arial"/>
        <family val="0"/>
        <charset val="1"/>
      </rPr>
      <t xml:space="preserve">A(</t>
    </r>
    <r>
      <rPr>
        <sz val="11"/>
        <rFont val="Noto Sans CJK SC"/>
        <family val="2"/>
      </rPr>
      <t xml:space="preserve">教育投資枠</t>
    </r>
    <r>
      <rPr>
        <sz val="11"/>
        <rFont val="Arial"/>
        <family val="0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</si>
  <si>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早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</si>
  <si>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rFont val="Noto Sans CJK SC"/>
        <family val="2"/>
      </rPr>
      <t xml:space="preserve">早番</t>
    </r>
    <r>
      <rPr>
        <sz val="11"/>
        <rFont val="Arial"/>
        <family val="0"/>
        <charset val="1"/>
      </rPr>
      <t xml:space="preserve">B</t>
    </r>
  </si>
  <si>
    <t xml:space="preserve">夜勤</t>
  </si>
  <si>
    <t xml:space="preserve">明け</t>
  </si>
  <si>
    <t xml:space="preserve">休み</t>
  </si>
  <si>
    <t xml:space="preserve">太赤枠</t>
  </si>
  <si>
    <t xml:space="preserve">希望休の申請あり</t>
  </si>
  <si>
    <r>
      <rPr>
        <b val="true"/>
        <sz val="11"/>
        <rFont val="Noto Sans CJK SC"/>
        <family val="2"/>
      </rPr>
      <t xml:space="preserve">現在のシフト健全度</t>
    </r>
    <r>
      <rPr>
        <b val="true"/>
        <sz val="11"/>
        <rFont val="Arial"/>
        <family val="0"/>
        <charset val="1"/>
      </rPr>
      <t xml:space="preserve">:</t>
    </r>
  </si>
  <si>
    <t xml:space="preserve">希望日</t>
  </si>
  <si>
    <t xml:space="preserve">理由</t>
  </si>
  <si>
    <t xml:space="preserve">割当中のシフト</t>
  </si>
  <si>
    <r>
      <rPr>
        <b val="true"/>
        <sz val="11"/>
        <color rgb="FFFFFFFF"/>
        <rFont val="Noto Sans CJK SC"/>
        <family val="2"/>
      </rPr>
      <t xml:space="preserve">承認後のチーム残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単独対応以上</t>
    </r>
    <r>
      <rPr>
        <b val="true"/>
        <sz val="11"/>
        <color rgb="FFFFFFFF"/>
        <rFont val="Arial"/>
        <family val="0"/>
        <charset val="1"/>
      </rPr>
      <t xml:space="preserve">)</t>
    </r>
    <r>
      <rPr>
        <b val="true"/>
        <sz val="11"/>
        <color rgb="FFFFFFFF"/>
        <rFont val="Noto Sans CJK SC"/>
        <family val="2"/>
      </rPr>
      <t xml:space="preserve">人数</t>
    </r>
  </si>
  <si>
    <t xml:space="preserve">申請日</t>
  </si>
  <si>
    <t xml:space="preserve">自動承認可否</t>
  </si>
  <si>
    <r>
      <rPr>
        <b val="true"/>
        <sz val="11"/>
        <color rgb="FFFFFFFF"/>
        <rFont val="Noto Sans CJK SC"/>
        <family val="2"/>
      </rPr>
      <t xml:space="preserve">自動承認</t>
    </r>
    <r>
      <rPr>
        <b val="true"/>
        <sz val="11"/>
        <color rgb="FFFFFFFF"/>
        <rFont val="Arial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手動確認の理由</t>
    </r>
  </si>
  <si>
    <t xml:space="preserve">必要人数</t>
  </si>
  <si>
    <t xml:space="preserve">交代要員の提案</t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</si>
  <si>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初期データ</t>
    </r>
    <r>
      <rPr>
        <sz val="11"/>
        <color theme="1"/>
        <rFont val="Calibri"/>
        <family val="2"/>
        <charset val="1"/>
      </rPr>
      <t xml:space="preserve">)</t>
    </r>
  </si>
  <si>
    <t xml:space="preserve">自動承認</t>
  </si>
  <si>
    <r>
      <rPr>
        <sz val="11"/>
        <color theme="1"/>
        <rFont val="Noto Sans CJK SC"/>
        <family val="2"/>
      </rPr>
      <t xml:space="preserve">申請期限・週</t>
    </r>
    <r>
      <rPr>
        <sz val="11"/>
        <color theme="1"/>
        <rFont val="Calibri"/>
        <family val="2"/>
        <charset val="1"/>
      </rPr>
      <t xml:space="preserve">40</t>
    </r>
    <r>
      <rPr>
        <sz val="11"/>
        <color theme="1"/>
        <rFont val="Noto Sans CJK SC"/>
        <family val="2"/>
      </rPr>
      <t xml:space="preserve">時間・必要人数・</t>
    </r>
    <r>
      <rPr>
        <sz val="11"/>
        <color theme="1"/>
        <rFont val="Calibri"/>
        <family val="2"/>
        <charset val="1"/>
      </rPr>
      <t xml:space="preserve">NG</t>
    </r>
    <r>
      <rPr>
        <sz val="11"/>
        <color theme="1"/>
        <rFont val="Noto Sans CJK SC"/>
        <family val="2"/>
      </rPr>
      <t xml:space="preserve">ペアのいずれも問題なし → 自動承認</t>
    </r>
  </si>
  <si>
    <t xml:space="preserve">交代不要</t>
  </si>
  <si>
    <r>
      <rPr>
        <sz val="11"/>
        <color theme="1"/>
        <rFont val="Noto Sans CJK SC"/>
        <family val="2"/>
      </rPr>
      <t xml:space="preserve">早番</t>
    </r>
    <r>
      <rPr>
        <sz val="11"/>
        <color theme="1"/>
        <rFont val="Calibri"/>
        <family val="2"/>
        <charset val="1"/>
      </rPr>
      <t xml:space="preserve">A(</t>
    </r>
    <r>
      <rPr>
        <sz val="11"/>
        <color theme="1"/>
        <rFont val="Noto Sans CJK SC"/>
        <family val="2"/>
      </rPr>
      <t xml:space="preserve">教育投資枠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の希望休のため、運行への影響なし → 自動承認</t>
    </r>
  </si>
  <si>
    <t xml:space="preserve">手動確認</t>
  </si>
  <si>
    <r>
      <rPr>
        <sz val="11"/>
        <color theme="1"/>
        <rFont val="Noto Sans CJK SC"/>
        <family val="2"/>
      </rPr>
      <t xml:space="preserve">申請期限</t>
    </r>
    <r>
      <rPr>
        <sz val="11"/>
        <color theme="1"/>
        <rFont val="Calibri"/>
        <family val="2"/>
        <charset val="1"/>
      </rPr>
      <t xml:space="preserve">(14</t>
    </r>
    <r>
      <rPr>
        <sz val="11"/>
        <color theme="1"/>
        <rFont val="Noto Sans CJK SC"/>
        <family val="2"/>
      </rPr>
      <t xml:space="preserve">日前まで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を満たしていない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実際</t>
    </r>
    <r>
      <rPr>
        <sz val="11"/>
        <color theme="1"/>
        <rFont val="Calibri"/>
        <family val="2"/>
        <charset val="1"/>
      </rPr>
      <t xml:space="preserve">: 10</t>
    </r>
    <r>
      <rPr>
        <sz val="11"/>
        <color theme="1"/>
        <rFont val="Noto Sans CJK SC"/>
        <family val="2"/>
      </rPr>
      <t xml:space="preserve">日前</t>
    </r>
    <r>
      <rPr>
        <sz val="11"/>
        <color theme="1"/>
        <rFont val="Calibri"/>
        <family val="2"/>
        <charset val="1"/>
      </rPr>
      <t xml:space="preserve">) / </t>
    </r>
    <r>
      <rPr>
        <sz val="11"/>
        <color theme="1"/>
        <rFont val="Noto Sans CJK SC"/>
        <family val="2"/>
      </rPr>
      <t xml:space="preserve">週</t>
    </r>
    <r>
      <rPr>
        <sz val="11"/>
        <color theme="1"/>
        <rFont val="Calibri"/>
        <family val="2"/>
        <charset val="1"/>
      </rPr>
      <t xml:space="preserve">40</t>
    </r>
    <r>
      <rPr>
        <sz val="11"/>
        <color theme="1"/>
        <rFont val="Noto Sans CJK SC"/>
        <family val="2"/>
      </rPr>
      <t xml:space="preserve">時間の労働時間超過がチーム内に存在するため、健全度に関係なく手動確認が必要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高橋 三郎、渡辺 修、小林 拓也</t>
    </r>
    <r>
      <rPr>
        <sz val="11"/>
        <color theme="1"/>
        <rFont val="Calibri"/>
        <family val="2"/>
        <charset val="1"/>
      </rPr>
      <t xml:space="preserve">) / </t>
    </r>
    <r>
      <rPr>
        <sz val="11"/>
        <color theme="1"/>
        <rFont val="Noto Sans CJK SC"/>
        <family val="2"/>
      </rPr>
      <t xml:space="preserve">中村 陽介との</t>
    </r>
    <r>
      <rPr>
        <sz val="11"/>
        <color theme="1"/>
        <rFont val="Calibri"/>
        <family val="2"/>
        <charset val="1"/>
      </rPr>
      <t xml:space="preserve">NG</t>
    </r>
    <r>
      <rPr>
        <sz val="11"/>
        <color theme="1"/>
        <rFont val="Noto Sans CJK SC"/>
        <family val="2"/>
      </rPr>
      <t xml:space="preserve">ペア調整が絡むため当事者間の確認が必要</t>
    </r>
  </si>
  <si>
    <r>
      <rPr>
        <sz val="11"/>
        <color theme="1"/>
        <rFont val="Noto Sans CJK SC"/>
        <family val="2"/>
      </rPr>
      <t xml:space="preserve">小林 拓也 → 佐藤 一郎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チーム</t>
    </r>
    <r>
      <rPr>
        <sz val="11"/>
        <color theme="1"/>
        <rFont val="Calibri"/>
        <family val="2"/>
        <charset val="1"/>
      </rPr>
      <t xml:space="preserve">A)</t>
    </r>
  </si>
  <si>
    <r>
      <rPr>
        <sz val="11"/>
        <color theme="1"/>
        <rFont val="Noto Sans CJK SC"/>
        <family val="2"/>
      </rPr>
      <t xml:space="preserve">申請期限</t>
    </r>
    <r>
      <rPr>
        <sz val="11"/>
        <color theme="1"/>
        <rFont val="Calibri"/>
        <family val="2"/>
        <charset val="1"/>
      </rPr>
      <t xml:space="preserve">(14</t>
    </r>
    <r>
      <rPr>
        <sz val="11"/>
        <color theme="1"/>
        <rFont val="Noto Sans CJK SC"/>
        <family val="2"/>
      </rPr>
      <t xml:space="preserve">日前まで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を満たしていない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実際</t>
    </r>
    <r>
      <rPr>
        <sz val="11"/>
        <color theme="1"/>
        <rFont val="Calibri"/>
        <family val="2"/>
        <charset val="1"/>
      </rPr>
      <t xml:space="preserve">: 11</t>
    </r>
    <r>
      <rPr>
        <sz val="11"/>
        <color theme="1"/>
        <rFont val="Noto Sans CJK SC"/>
        <family val="2"/>
      </rPr>
      <t xml:space="preserve">日前</t>
    </r>
    <r>
      <rPr>
        <sz val="11"/>
        <color theme="1"/>
        <rFont val="Calibri"/>
        <family val="2"/>
        <charset val="1"/>
      </rPr>
      <t xml:space="preserve">) / </t>
    </r>
    <r>
      <rPr>
        <sz val="11"/>
        <color theme="1"/>
        <rFont val="Noto Sans CJK SC"/>
        <family val="2"/>
      </rPr>
      <t xml:space="preserve">週</t>
    </r>
    <r>
      <rPr>
        <sz val="11"/>
        <color theme="1"/>
        <rFont val="Calibri"/>
        <family val="2"/>
        <charset val="1"/>
      </rPr>
      <t xml:space="preserve">40</t>
    </r>
    <r>
      <rPr>
        <sz val="11"/>
        <color theme="1"/>
        <rFont val="Noto Sans CJK SC"/>
        <family val="2"/>
      </rPr>
      <t xml:space="preserve">時間の労働時間超過がチーム内に存在するため、健全度に関係なく手動確認が必要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高橋 三郎、渡辺 修、小林 拓也</t>
    </r>
    <r>
      <rPr>
        <sz val="11"/>
        <color theme="1"/>
        <rFont val="Calibri"/>
        <family val="2"/>
        <charset val="1"/>
      </rPr>
      <t xml:space="preserve">) / </t>
    </r>
    <r>
      <rPr>
        <sz val="11"/>
        <color theme="1"/>
        <rFont val="Noto Sans CJK SC"/>
        <family val="2"/>
      </rPr>
      <t xml:space="preserve">中村 陽介との</t>
    </r>
    <r>
      <rPr>
        <sz val="11"/>
        <color theme="1"/>
        <rFont val="Calibri"/>
        <family val="2"/>
        <charset val="1"/>
      </rPr>
      <t xml:space="preserve">NG</t>
    </r>
    <r>
      <rPr>
        <sz val="11"/>
        <color theme="1"/>
        <rFont val="Noto Sans CJK SC"/>
        <family val="2"/>
      </rPr>
      <t xml:space="preserve">ペア調整が絡むため当事者間の確認が必要</t>
    </r>
  </si>
  <si>
    <r>
      <rPr>
        <sz val="11"/>
        <color theme="1"/>
        <rFont val="Noto Sans CJK SC"/>
        <family val="2"/>
      </rPr>
      <t xml:space="preserve">小林 拓也 → 山本 隆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チーム</t>
    </r>
    <r>
      <rPr>
        <sz val="11"/>
        <color theme="1"/>
        <rFont val="Calibri"/>
        <family val="2"/>
        <charset val="1"/>
      </rPr>
      <t xml:space="preserve">D)</t>
    </r>
  </si>
  <si>
    <r>
      <rPr>
        <sz val="11"/>
        <color theme="1"/>
        <rFont val="Noto Sans CJK SC"/>
        <family val="2"/>
      </rPr>
      <t xml:space="preserve">申請期限</t>
    </r>
    <r>
      <rPr>
        <sz val="11"/>
        <color theme="1"/>
        <rFont val="Calibri"/>
        <family val="2"/>
        <charset val="1"/>
      </rPr>
      <t xml:space="preserve">(14</t>
    </r>
    <r>
      <rPr>
        <sz val="11"/>
        <color theme="1"/>
        <rFont val="Noto Sans CJK SC"/>
        <family val="2"/>
      </rPr>
      <t xml:space="preserve">日前まで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を満たしていない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実際</t>
    </r>
    <r>
      <rPr>
        <sz val="11"/>
        <color theme="1"/>
        <rFont val="Calibri"/>
        <family val="2"/>
        <charset val="1"/>
      </rPr>
      <t xml:space="preserve">: 12</t>
    </r>
    <r>
      <rPr>
        <sz val="11"/>
        <color theme="1"/>
        <rFont val="Noto Sans CJK SC"/>
        <family val="2"/>
      </rPr>
      <t xml:space="preserve">日前</t>
    </r>
    <r>
      <rPr>
        <sz val="11"/>
        <color theme="1"/>
        <rFont val="Calibri"/>
        <family val="2"/>
        <charset val="1"/>
      </rPr>
      <t xml:space="preserve">) / </t>
    </r>
    <r>
      <rPr>
        <sz val="11"/>
        <color theme="1"/>
        <rFont val="Noto Sans CJK SC"/>
        <family val="2"/>
      </rPr>
      <t xml:space="preserve">中村 陽介との</t>
    </r>
    <r>
      <rPr>
        <sz val="11"/>
        <color theme="1"/>
        <rFont val="Calibri"/>
        <family val="2"/>
        <charset val="1"/>
      </rPr>
      <t xml:space="preserve">NG</t>
    </r>
    <r>
      <rPr>
        <sz val="11"/>
        <color theme="1"/>
        <rFont val="Noto Sans CJK SC"/>
        <family val="2"/>
      </rPr>
      <t xml:space="preserve">ペア調整が絡むため当事者間の確認が必要</t>
    </r>
  </si>
  <si>
    <t xml:space="preserve">※「承認後のチーム残人数」は、そのチームで設備を単独対応以上でこなせる人数から、申請者本人の分を除いた人数です。</t>
  </si>
  <si>
    <r>
      <rPr>
        <i val="true"/>
        <sz val="9"/>
        <rFont val="Noto Sans CJK SC"/>
        <family val="2"/>
      </rPr>
      <t xml:space="preserve">※「自動承認可否」は</t>
    </r>
    <r>
      <rPr>
        <i val="true"/>
        <sz val="9"/>
        <rFont val="Arial"/>
        <family val="0"/>
        <charset val="1"/>
      </rPr>
      <t xml:space="preserve">src/auto_approval.py</t>
    </r>
    <r>
      <rPr>
        <i val="true"/>
        <sz val="9"/>
        <rFont val="Noto Sans CJK SC"/>
        <family val="2"/>
      </rPr>
      <t xml:space="preserve">で計算した値です</t>
    </r>
    <r>
      <rPr>
        <i val="true"/>
        <sz val="9"/>
        <rFont val="Arial"/>
        <family val="0"/>
        <charset val="1"/>
      </rPr>
      <t xml:space="preserve">(</t>
    </r>
    <r>
      <rPr>
        <i val="true"/>
        <sz val="9"/>
        <rFont val="Noto Sans CJK SC"/>
        <family val="2"/>
      </rPr>
      <t xml:space="preserve">申請期限・週</t>
    </r>
    <r>
      <rPr>
        <i val="true"/>
        <sz val="9"/>
        <rFont val="Arial"/>
        <family val="0"/>
        <charset val="1"/>
      </rPr>
      <t xml:space="preserve">40</t>
    </r>
    <r>
      <rPr>
        <i val="true"/>
        <sz val="9"/>
        <rFont val="Noto Sans CJK SC"/>
        <family val="2"/>
      </rPr>
      <t xml:space="preserve">時間・残人数・</t>
    </r>
    <r>
      <rPr>
        <i val="true"/>
        <sz val="9"/>
        <rFont val="Arial"/>
        <family val="0"/>
        <charset val="1"/>
      </rPr>
      <t xml:space="preserve">NG</t>
    </r>
    <r>
      <rPr>
        <i val="true"/>
        <sz val="9"/>
        <rFont val="Noto Sans CJK SC"/>
        <family val="2"/>
      </rPr>
      <t xml:space="preserve">ペアをすべて満たす場合のみ自動承認</t>
    </r>
    <r>
      <rPr>
        <i val="true"/>
        <sz val="9"/>
        <rFont val="Arial"/>
        <family val="0"/>
        <charset val="1"/>
      </rPr>
      <t xml:space="preserve">)</t>
    </r>
    <r>
      <rPr>
        <i val="true"/>
        <sz val="9"/>
        <rFont val="Noto Sans CJK SC"/>
        <family val="2"/>
      </rPr>
      <t xml:space="preserve">。設定は「労働時間・自動承認設定」シート参照。</t>
    </r>
  </si>
  <si>
    <t xml:space="preserve">労働時間チェック・自動承認設定</t>
  </si>
  <si>
    <r>
      <rPr>
        <i val="true"/>
        <sz val="9"/>
        <rFont val="Noto Sans CJK SC"/>
        <family val="2"/>
      </rPr>
      <t xml:space="preserve">週</t>
    </r>
    <r>
      <rPr>
        <i val="true"/>
        <sz val="9"/>
        <rFont val="Arial"/>
        <family val="0"/>
        <charset val="1"/>
      </rPr>
      <t xml:space="preserve">40</t>
    </r>
    <r>
      <rPr>
        <i val="true"/>
        <sz val="9"/>
        <rFont val="Noto Sans CJK SC"/>
        <family val="2"/>
      </rPr>
      <t xml:space="preserve">時間を超える勤務は、シフト健全度の良し悪しとは無関係にチェックする</t>
    </r>
    <r>
      <rPr>
        <i val="true"/>
        <sz val="9"/>
        <rFont val="Arial"/>
        <family val="0"/>
        <charset val="1"/>
      </rPr>
      <t xml:space="preserve">(</t>
    </r>
    <r>
      <rPr>
        <i val="true"/>
        <sz val="9"/>
        <rFont val="Noto Sans CJK SC"/>
        <family val="2"/>
      </rPr>
      <t xml:space="preserve">健全度が高くても法令上の問題は残るため</t>
    </r>
    <r>
      <rPr>
        <i val="true"/>
        <sz val="9"/>
        <rFont val="Arial"/>
        <family val="0"/>
        <charset val="1"/>
      </rPr>
      <t xml:space="preserve">)</t>
    </r>
    <r>
      <rPr>
        <i val="true"/>
        <sz val="9"/>
        <rFont val="Noto Sans CJK SC"/>
        <family val="2"/>
      </rPr>
      <t xml:space="preserve">。</t>
    </r>
  </si>
  <si>
    <r>
      <rPr>
        <b val="true"/>
        <sz val="11"/>
        <rFont val="Noto Sans CJK SC"/>
        <family val="2"/>
      </rPr>
      <t xml:space="preserve">自動承認設定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管理者が</t>
    </r>
    <r>
      <rPr>
        <b val="true"/>
        <sz val="11"/>
        <rFont val="Arial"/>
        <family val="0"/>
        <charset val="1"/>
      </rPr>
      <t xml:space="preserve">ON/OFF</t>
    </r>
    <r>
      <rPr>
        <b val="true"/>
        <sz val="11"/>
        <rFont val="Noto Sans CJK SC"/>
        <family val="2"/>
      </rPr>
      <t xml:space="preserve">できる</t>
    </r>
    <r>
      <rPr>
        <b val="true"/>
        <sz val="11"/>
        <rFont val="Arial"/>
        <family val="0"/>
        <charset val="1"/>
      </rPr>
      <t xml:space="preserve">)</t>
    </r>
  </si>
  <si>
    <t xml:space="preserve">自動承認機能</t>
  </si>
  <si>
    <t xml:space="preserve">有効</t>
  </si>
  <si>
    <r>
      <rPr>
        <sz val="11"/>
        <color theme="1"/>
        <rFont val="Noto Sans CJK SC"/>
        <family val="2"/>
      </rPr>
      <t xml:space="preserve">申請期限</t>
    </r>
    <r>
      <rPr>
        <sz val="11"/>
        <color theme="1"/>
        <rFont val="Calibri"/>
        <family val="2"/>
        <charset val="1"/>
      </rPr>
      <t xml:space="preserve">(◯</t>
    </r>
    <r>
      <rPr>
        <sz val="11"/>
        <color theme="1"/>
        <rFont val="Noto Sans CJK SC"/>
        <family val="2"/>
      </rPr>
      <t xml:space="preserve">日前まで</t>
    </r>
    <r>
      <rPr>
        <sz val="11"/>
        <color theme="1"/>
        <rFont val="Calibri"/>
        <family val="2"/>
        <charset val="1"/>
      </rPr>
      <t xml:space="preserve">)</t>
    </r>
  </si>
  <si>
    <r>
      <rPr>
        <b val="true"/>
        <sz val="11"/>
        <rFont val="Arial"/>
        <family val="0"/>
        <charset val="1"/>
      </rPr>
      <t xml:space="preserve">14</t>
    </r>
    <r>
      <rPr>
        <b val="true"/>
        <sz val="11"/>
        <rFont val="Noto Sans CJK SC"/>
        <family val="2"/>
      </rPr>
      <t xml:space="preserve">日前まで</t>
    </r>
  </si>
  <si>
    <t xml:space="preserve">最低必要バックアップ人数</t>
  </si>
  <si>
    <r>
      <rPr>
        <b val="true"/>
        <sz val="11"/>
        <rFont val="Arial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人</t>
    </r>
  </si>
  <si>
    <r>
      <rPr>
        <b val="true"/>
        <sz val="11"/>
        <rFont val="Noto Sans CJK SC"/>
        <family val="2"/>
      </rPr>
      <t xml:space="preserve">自動承認の条件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すべて満たした場合のみ、管理者の承認なしで通る</t>
    </r>
    <r>
      <rPr>
        <b val="true"/>
        <sz val="11"/>
        <rFont val="Arial"/>
        <family val="0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</si>
  <si>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CJK SC"/>
        <family val="2"/>
      </rPr>
      <t xml:space="preserve">自動承認機能が有効になっている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上記設定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</si>
  <si>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CJK SC"/>
        <family val="2"/>
      </rPr>
      <t xml:space="preserve">申請日から希望日まで、設定した日数以上ある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直前の申請は対象外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</si>
  <si>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CJK SC"/>
        <family val="2"/>
      </rPr>
      <t xml:space="preserve">その週にチーム内で週</t>
    </r>
    <r>
      <rPr>
        <sz val="11"/>
        <color theme="1"/>
        <rFont val="Calibri"/>
        <family val="2"/>
        <charset val="1"/>
      </rPr>
      <t xml:space="preserve">40</t>
    </r>
    <r>
      <rPr>
        <sz val="11"/>
        <color theme="1"/>
        <rFont val="Noto Sans CJK SC"/>
        <family val="2"/>
      </rPr>
      <t xml:space="preserve">時間超えが無い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法令順守を優先し、健全度に関係なくブロック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</si>
  <si>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CJK SC"/>
        <family val="2"/>
      </rPr>
      <t xml:space="preserve">承認後もチームに単独対応できる人が十分残る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健全度への影響が小さい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</si>
  <si>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5. NG</t>
    </r>
    <r>
      <rPr>
        <sz val="11"/>
        <color theme="1"/>
        <rFont val="Noto Sans CJK SC"/>
        <family val="2"/>
      </rPr>
      <t xml:space="preserve">ペアの相手が関わる、当事者間の調整が必要な状況ではない</t>
    </r>
  </si>
  <si>
    <r>
      <rPr>
        <b val="true"/>
        <sz val="11"/>
        <rFont val="Noto Sans CJK SC"/>
        <family val="2"/>
      </rPr>
      <t xml:space="preserve">週</t>
    </r>
    <r>
      <rPr>
        <b val="true"/>
        <sz val="11"/>
        <rFont val="Arial"/>
        <family val="0"/>
        <charset val="1"/>
      </rPr>
      <t xml:space="preserve">40</t>
    </r>
    <r>
      <rPr>
        <b val="true"/>
        <sz val="11"/>
        <rFont val="Noto Sans CJK SC"/>
        <family val="2"/>
      </rPr>
      <t xml:space="preserve">時間の労働時間チェック結果</t>
    </r>
    <r>
      <rPr>
        <b val="true"/>
        <sz val="11"/>
        <rFont val="Arial"/>
        <family val="0"/>
        <charset val="1"/>
      </rPr>
      <t xml:space="preserve">(2026</t>
    </r>
    <r>
      <rPr>
        <b val="true"/>
        <sz val="11"/>
        <rFont val="Noto Sans CJK SC"/>
        <family val="2"/>
      </rPr>
      <t xml:space="preserve">年</t>
    </r>
    <r>
      <rPr>
        <b val="true"/>
        <sz val="11"/>
        <rFont val="Arial"/>
        <family val="0"/>
        <charset val="1"/>
      </rPr>
      <t xml:space="preserve">8</t>
    </r>
    <r>
      <rPr>
        <b val="true"/>
        <sz val="11"/>
        <rFont val="Noto Sans CJK SC"/>
        <family val="2"/>
      </rPr>
      <t xml:space="preserve">月・デモ</t>
    </r>
    <r>
      <rPr>
        <b val="true"/>
        <sz val="11"/>
        <rFont val="Arial"/>
        <family val="0"/>
        <charset val="1"/>
      </rPr>
      <t xml:space="preserve">)</t>
    </r>
  </si>
  <si>
    <t xml:space="preserve">週</t>
  </si>
  <si>
    <t xml:space="preserve">時間</t>
  </si>
  <si>
    <t xml:space="preserve">上限</t>
  </si>
  <si>
    <t xml:space="preserve">2026-W32</t>
  </si>
  <si>
    <t xml:space="preserve">2026-W34</t>
  </si>
  <si>
    <t xml:space="preserve">2026-W33</t>
  </si>
  <si>
    <t xml:space="preserve">2026-W35</t>
  </si>
  <si>
    <r>
      <rPr>
        <i val="true"/>
        <sz val="9"/>
        <rFont val="Noto Sans CJK SC"/>
        <family val="2"/>
      </rPr>
      <t xml:space="preserve">※ このデモは「早番</t>
    </r>
    <r>
      <rPr>
        <i val="true"/>
        <sz val="9"/>
        <rFont val="Arial"/>
        <family val="0"/>
        <charset val="1"/>
      </rPr>
      <t xml:space="preserve">A/</t>
    </r>
    <r>
      <rPr>
        <i val="true"/>
        <sz val="9"/>
        <rFont val="Noto Sans CJK SC"/>
        <family val="2"/>
      </rPr>
      <t xml:space="preserve">早番</t>
    </r>
    <r>
      <rPr>
        <i val="true"/>
        <sz val="9"/>
        <rFont val="Arial"/>
        <family val="0"/>
        <charset val="1"/>
      </rPr>
      <t xml:space="preserve">B=8</t>
    </r>
    <r>
      <rPr>
        <i val="true"/>
        <sz val="9"/>
        <rFont val="Noto Sans CJK SC"/>
        <family val="2"/>
      </rPr>
      <t xml:space="preserve">時間、夜勤</t>
    </r>
    <r>
      <rPr>
        <i val="true"/>
        <sz val="9"/>
        <rFont val="Arial"/>
        <family val="0"/>
        <charset val="1"/>
      </rPr>
      <t xml:space="preserve">=16</t>
    </r>
    <r>
      <rPr>
        <i val="true"/>
        <sz val="9"/>
        <rFont val="Noto Sans CJK SC"/>
        <family val="2"/>
      </rPr>
      <t xml:space="preserve">時間」という単純な前提で計算している。実際の</t>
    </r>
    <r>
      <rPr>
        <i val="true"/>
        <sz val="9"/>
        <rFont val="Arial"/>
        <family val="0"/>
        <charset val="1"/>
      </rPr>
      <t xml:space="preserve">24</t>
    </r>
    <r>
      <rPr>
        <i val="true"/>
        <sz val="9"/>
        <rFont val="Noto Sans CJK SC"/>
        <family val="2"/>
      </rPr>
      <t xml:space="preserve">時間現場では、夜勤を含むシフトは「</t>
    </r>
    <r>
      <rPr>
        <i val="true"/>
        <sz val="9"/>
        <rFont val="Arial"/>
        <family val="0"/>
        <charset val="1"/>
      </rPr>
      <t xml:space="preserve">1</t>
    </r>
    <r>
      <rPr>
        <i val="true"/>
        <sz val="9"/>
        <rFont val="Noto Sans CJK SC"/>
        <family val="2"/>
      </rPr>
      <t xml:space="preserve">ヶ月単位の変形労働時間制」等で運用され、週単位ではなく月単位で平均をとるのが一般的。本チェックはあくまで週単位の簡易チェックであり、実際の適法性判断には社会保険労務士等への確認を推奨する。</t>
    </r>
  </si>
  <si>
    <r>
      <rPr>
        <b val="true"/>
        <sz val="11"/>
        <rFont val="Noto Sans CJK SC"/>
        <family val="2"/>
      </rPr>
      <t xml:space="preserve">参考</t>
    </r>
    <r>
      <rPr>
        <b val="true"/>
        <sz val="11"/>
        <rFont val="Arial"/>
        <family val="0"/>
        <charset val="1"/>
      </rPr>
      <t xml:space="preserve">: </t>
    </r>
    <r>
      <rPr>
        <b val="true"/>
        <sz val="11"/>
        <rFont val="Noto Sans CJK SC"/>
        <family val="2"/>
      </rPr>
      <t xml:space="preserve">関連する法令メモ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簡易チェックの前提として</t>
    </r>
    <r>
      <rPr>
        <b val="true"/>
        <sz val="11"/>
        <rFont val="Arial"/>
        <family val="0"/>
        <charset val="1"/>
      </rPr>
      <t xml:space="preserve">)</t>
    </r>
  </si>
  <si>
    <t xml:space="preserve">項目</t>
  </si>
  <si>
    <t xml:space="preserve">内容</t>
  </si>
  <si>
    <r>
      <rPr>
        <b val="true"/>
        <sz val="11"/>
        <rFont val="Arial"/>
        <family val="0"/>
        <charset val="1"/>
      </rPr>
      <t xml:space="preserve">36</t>
    </r>
    <r>
      <rPr>
        <b val="true"/>
        <sz val="11"/>
        <rFont val="Noto Sans CJK SC"/>
        <family val="2"/>
      </rPr>
      <t xml:space="preserve">協定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原則</t>
    </r>
    <r>
      <rPr>
        <b val="true"/>
        <sz val="11"/>
        <rFont val="Arial"/>
        <family val="0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</si>
  <si>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月</t>
    </r>
    <r>
      <rPr>
        <sz val="11"/>
        <color theme="1"/>
        <rFont val="Calibri"/>
        <family val="2"/>
        <charset val="1"/>
      </rPr>
      <t xml:space="preserve">45</t>
    </r>
    <r>
      <rPr>
        <sz val="11"/>
        <color theme="1"/>
        <rFont val="Noto Sans CJK SC"/>
        <family val="2"/>
      </rPr>
      <t xml:space="preserve">時間までの残業は毎月可能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360</t>
    </r>
    <r>
      <rPr>
        <sz val="11"/>
        <color theme="1"/>
        <rFont val="Noto Sans CJK SC"/>
        <family val="2"/>
      </rPr>
      <t xml:space="preserve">時間以内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。</t>
    </r>
  </si>
  <si>
    <r>
      <rPr>
        <b val="true"/>
        <sz val="11"/>
        <rFont val="Arial"/>
        <family val="0"/>
        <charset val="1"/>
      </rPr>
      <t xml:space="preserve">36</t>
    </r>
    <r>
      <rPr>
        <b val="true"/>
        <sz val="11"/>
        <rFont val="Noto Sans CJK SC"/>
        <family val="2"/>
      </rPr>
      <t xml:space="preserve">協定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特別条項</t>
    </r>
    <r>
      <rPr>
        <b val="true"/>
        <sz val="11"/>
        <rFont val="Arial"/>
        <family val="0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</si>
  <si>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月</t>
    </r>
    <r>
      <rPr>
        <sz val="11"/>
        <color theme="1"/>
        <rFont val="Calibri"/>
        <family val="2"/>
        <charset val="1"/>
      </rPr>
      <t xml:space="preserve">45</t>
    </r>
    <r>
      <rPr>
        <sz val="11"/>
        <color theme="1"/>
        <rFont val="Noto Sans CJK SC"/>
        <family val="2"/>
      </rPr>
      <t xml:space="preserve">時間を「超える」残業ができるのが年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回まで。</t>
    </r>
  </si>
  <si>
    <r>
      <rPr>
        <b val="true"/>
        <sz val="11"/>
        <rFont val="Arial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日</t>
    </r>
    <r>
      <rPr>
        <b val="true"/>
        <sz val="11"/>
        <rFont val="Arial"/>
        <family val="0"/>
        <charset val="1"/>
      </rPr>
      <t xml:space="preserve">8</t>
    </r>
    <r>
      <rPr>
        <b val="true"/>
        <sz val="11"/>
        <rFont val="Noto Sans CJK SC"/>
        <family val="2"/>
      </rPr>
      <t xml:space="preserve">時間超のシフト</t>
    </r>
  </si>
  <si>
    <r>
      <rPr>
        <sz val="11"/>
        <color theme="1"/>
        <rFont val="Noto Sans CJK SC"/>
        <family val="2"/>
      </rPr>
      <t xml:space="preserve">「変形労働時間制」を導入していれば、所定労働時間として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時間超の設定が可能。</t>
    </r>
  </si>
  <si>
    <t xml:space="preserve">日付またぎの勤務</t>
  </si>
  <si>
    <r>
      <rPr>
        <sz val="11"/>
        <color theme="1"/>
        <rFont val="Noto Sans CJK SC"/>
        <family val="2"/>
      </rPr>
      <t xml:space="preserve">暦日に関わらず「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つの勤務」として計算される。休憩</t>
    </r>
    <r>
      <rPr>
        <sz val="11"/>
        <color theme="1"/>
        <rFont val="Calibri"/>
        <family val="2"/>
        <charset val="1"/>
      </rPr>
      <t xml:space="preserve">(8</t>
    </r>
    <r>
      <rPr>
        <sz val="11"/>
        <color theme="1"/>
        <rFont val="Noto Sans CJK SC"/>
        <family val="2"/>
      </rPr>
      <t xml:space="preserve">時間超で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時間以上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と割増賃金を支払えば</t>
    </r>
    <r>
      <rPr>
        <sz val="11"/>
        <color theme="1"/>
        <rFont val="Calibri"/>
        <family val="2"/>
        <charset val="1"/>
      </rPr>
      <t xml:space="preserve">16</t>
    </r>
    <r>
      <rPr>
        <sz val="11"/>
        <color theme="1"/>
        <rFont val="Noto Sans CJK SC"/>
        <family val="2"/>
      </rPr>
      <t xml:space="preserve">時間拘束も可能。</t>
    </r>
  </si>
  <si>
    <t xml:space="preserve">※ 上記は一般的な制度の概要であり、事業場ごとの労使協定・就業規則の内容が優先される。個別の適用可否は社会保険労務士等に確認すること。</t>
  </si>
  <si>
    <t xml:space="preserve">教育担当が不在で頭打ちになっている箇所と対応案</t>
  </si>
  <si>
    <r>
      <rPr>
        <b val="true"/>
        <sz val="11"/>
        <rFont val="Noto Sans CJK SC"/>
        <family val="2"/>
      </rPr>
      <t xml:space="preserve">頭打ち箇所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チーム</t>
    </r>
    <r>
      <rPr>
        <b val="true"/>
        <sz val="11"/>
        <rFont val="Arial"/>
        <family val="0"/>
        <charset val="1"/>
      </rPr>
      <t xml:space="preserve">×</t>
    </r>
    <r>
      <rPr>
        <b val="true"/>
        <sz val="11"/>
        <rFont val="Noto Sans CJK SC"/>
        <family val="2"/>
      </rPr>
      <t xml:space="preserve">設備の組み合わせ数</t>
    </r>
    <r>
      <rPr>
        <b val="true"/>
        <sz val="11"/>
        <rFont val="Arial"/>
        <family val="0"/>
        <charset val="1"/>
      </rPr>
      <t xml:space="preserve">)</t>
    </r>
  </si>
  <si>
    <t xml:space="preserve">実際に昇格が必要な人数</t>
  </si>
  <si>
    <r>
      <rPr>
        <i val="true"/>
        <sz val="9"/>
        <rFont val="Arial"/>
        <family val="0"/>
        <charset val="1"/>
      </rPr>
      <t xml:space="preserve">(1</t>
    </r>
    <r>
      <rPr>
        <i val="true"/>
        <sz val="9"/>
        <rFont val="Noto Sans CJK SC"/>
        <family val="2"/>
      </rPr>
      <t xml:space="preserve">人が同じチーム内の複数設備を兼任できるため、組み合わせ数より少なくて済む</t>
    </r>
    <r>
      <rPr>
        <i val="true"/>
        <sz val="9"/>
        <rFont val="Arial"/>
        <family val="0"/>
        <charset val="1"/>
      </rPr>
      <t xml:space="preserve">)</t>
    </r>
  </si>
  <si>
    <t xml:space="preserve">候補者</t>
  </si>
  <si>
    <r>
      <rPr>
        <b val="true"/>
        <sz val="11"/>
        <color rgb="FFFFFFFF"/>
        <rFont val="Noto Sans CJK SC"/>
        <family val="2"/>
      </rPr>
      <t xml:space="preserve">担当する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チーム</t>
    </r>
    <r>
      <rPr>
        <b val="true"/>
        <sz val="11"/>
        <color rgb="FFFFFFFF"/>
        <rFont val="Arial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設備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</si>
  <si>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件数</t>
  </si>
  <si>
    <r>
      <rPr>
        <sz val="11"/>
        <color theme="1"/>
        <rFont val="Calibri"/>
        <family val="2"/>
        <charset val="1"/>
      </rPr>
      <t xml:space="preserve">A/</t>
    </r>
    <r>
      <rPr>
        <sz val="11"/>
        <color theme="1"/>
        <rFont val="Noto Sans CJK SC"/>
        <family val="2"/>
      </rPr>
      <t xml:space="preserve">消防設備</t>
    </r>
  </si>
  <si>
    <r>
      <rPr>
        <sz val="11"/>
        <color theme="1"/>
        <rFont val="Calibri"/>
        <family val="2"/>
        <charset val="1"/>
      </rPr>
      <t xml:space="preserve">B/</t>
    </r>
    <r>
      <rPr>
        <sz val="11"/>
        <color theme="1"/>
        <rFont val="Noto Sans CJK SC"/>
        <family val="2"/>
      </rPr>
      <t xml:space="preserve">空調設備</t>
    </r>
    <r>
      <rPr>
        <sz val="11"/>
        <color theme="1"/>
        <rFont val="Calibri"/>
        <family val="2"/>
        <charset val="1"/>
      </rPr>
      <t xml:space="preserve">, B/</t>
    </r>
    <r>
      <rPr>
        <sz val="11"/>
        <color theme="1"/>
        <rFont val="Noto Sans CJK SC"/>
        <family val="2"/>
      </rPr>
      <t xml:space="preserve">監視盤</t>
    </r>
  </si>
  <si>
    <r>
      <rPr>
        <sz val="11"/>
        <color theme="1"/>
        <rFont val="Calibri"/>
        <family val="2"/>
        <charset val="1"/>
      </rPr>
      <t xml:space="preserve">C/</t>
    </r>
    <r>
      <rPr>
        <sz val="11"/>
        <color theme="1"/>
        <rFont val="Noto Sans CJK SC"/>
        <family val="2"/>
      </rPr>
      <t xml:space="preserve">受変電設備</t>
    </r>
    <r>
      <rPr>
        <sz val="11"/>
        <color theme="1"/>
        <rFont val="Calibri"/>
        <family val="2"/>
        <charset val="1"/>
      </rPr>
      <t xml:space="preserve">, C/</t>
    </r>
    <r>
      <rPr>
        <sz val="11"/>
        <color theme="1"/>
        <rFont val="Noto Sans CJK SC"/>
        <family val="2"/>
      </rPr>
      <t xml:space="preserve">消防設備</t>
    </r>
  </si>
  <si>
    <r>
      <rPr>
        <sz val="11"/>
        <color theme="1"/>
        <rFont val="Calibri"/>
        <family val="2"/>
        <charset val="1"/>
      </rPr>
      <t xml:space="preserve">D/</t>
    </r>
    <r>
      <rPr>
        <sz val="11"/>
        <color theme="1"/>
        <rFont val="Noto Sans CJK SC"/>
        <family val="2"/>
      </rPr>
      <t xml:space="preserve">受変電設備</t>
    </r>
    <r>
      <rPr>
        <sz val="11"/>
        <color theme="1"/>
        <rFont val="Calibri"/>
        <family val="2"/>
        <charset val="1"/>
      </rPr>
      <t xml:space="preserve">, D/</t>
    </r>
    <r>
      <rPr>
        <sz val="11"/>
        <color theme="1"/>
        <rFont val="Noto Sans CJK SC"/>
        <family val="2"/>
      </rPr>
      <t xml:space="preserve">空調設備</t>
    </r>
    <r>
      <rPr>
        <sz val="11"/>
        <color theme="1"/>
        <rFont val="Calibri"/>
        <family val="2"/>
        <charset val="1"/>
      </rPr>
      <t xml:space="preserve">, D/</t>
    </r>
    <r>
      <rPr>
        <sz val="11"/>
        <color theme="1"/>
        <rFont val="Noto Sans CJK SC"/>
        <family val="2"/>
      </rPr>
      <t xml:space="preserve">消防設備</t>
    </r>
    <r>
      <rPr>
        <sz val="11"/>
        <color theme="1"/>
        <rFont val="Calibri"/>
        <family val="2"/>
        <charset val="1"/>
      </rPr>
      <t xml:space="preserve">, D/</t>
    </r>
    <r>
      <rPr>
        <sz val="11"/>
        <color theme="1"/>
        <rFont val="Noto Sans CJK SC"/>
        <family val="2"/>
      </rPr>
      <t xml:space="preserve">監視盤</t>
    </r>
  </si>
  <si>
    <r>
      <rPr>
        <sz val="11"/>
        <color theme="1"/>
        <rFont val="Calibri"/>
        <family val="2"/>
        <charset val="1"/>
      </rPr>
      <t xml:space="preserve">E/</t>
    </r>
    <r>
      <rPr>
        <sz val="11"/>
        <color theme="1"/>
        <rFont val="Noto Sans CJK SC"/>
        <family val="2"/>
      </rPr>
      <t xml:space="preserve">受変電設備</t>
    </r>
    <r>
      <rPr>
        <sz val="11"/>
        <color theme="1"/>
        <rFont val="Calibri"/>
        <family val="2"/>
        <charset val="1"/>
      </rPr>
      <t xml:space="preserve">, E/</t>
    </r>
    <r>
      <rPr>
        <sz val="11"/>
        <color theme="1"/>
        <rFont val="Noto Sans CJK SC"/>
        <family val="2"/>
      </rPr>
      <t xml:space="preserve">空調設備</t>
    </r>
    <r>
      <rPr>
        <sz val="11"/>
        <color theme="1"/>
        <rFont val="Calibri"/>
        <family val="2"/>
        <charset val="1"/>
      </rPr>
      <t xml:space="preserve">, E/</t>
    </r>
    <r>
      <rPr>
        <sz val="11"/>
        <color theme="1"/>
        <rFont val="Noto Sans CJK SC"/>
        <family val="2"/>
      </rPr>
      <t xml:space="preserve">消防設備</t>
    </r>
    <r>
      <rPr>
        <sz val="11"/>
        <color theme="1"/>
        <rFont val="Calibri"/>
        <family val="2"/>
        <charset val="1"/>
      </rPr>
      <t xml:space="preserve">, E/</t>
    </r>
    <r>
      <rPr>
        <sz val="11"/>
        <color theme="1"/>
        <rFont val="Noto Sans CJK SC"/>
        <family val="2"/>
      </rPr>
      <t xml:space="preserve">監視盤</t>
    </r>
  </si>
  <si>
    <r>
      <rPr>
        <b val="true"/>
        <sz val="11"/>
        <rFont val="Noto Sans CJK SC"/>
        <family val="2"/>
      </rPr>
      <t xml:space="preserve">箇所ごとの対応案</t>
    </r>
    <r>
      <rPr>
        <b val="true"/>
        <sz val="11"/>
        <rFont val="Arial"/>
        <family val="0"/>
        <charset val="1"/>
      </rPr>
      <t xml:space="preserve">(4</t>
    </r>
    <r>
      <rPr>
        <b val="true"/>
        <sz val="11"/>
        <rFont val="Noto Sans CJK SC"/>
        <family val="2"/>
      </rPr>
      <t xml:space="preserve">案</t>
    </r>
    <r>
      <rPr>
        <b val="true"/>
        <sz val="11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</si>
  <si>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チーム</t>
    </r>
    <r>
      <rPr>
        <b val="true"/>
        <sz val="11"/>
        <color rgb="FFFFFFFF"/>
        <rFont val="Arial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設備</t>
    </r>
  </si>
  <si>
    <r>
      <rPr>
        <b val="true"/>
        <sz val="11"/>
        <color rgb="FFFFFFFF"/>
        <rFont val="Noto Sans CJK SC"/>
        <family val="2"/>
      </rPr>
      <t xml:space="preserve">案</t>
    </r>
    <r>
      <rPr>
        <b val="true"/>
        <sz val="11"/>
        <color rgb="FFFFFFFF"/>
        <rFont val="Arial"/>
        <family val="0"/>
        <charset val="1"/>
      </rPr>
      <t xml:space="preserve">1: </t>
    </r>
    <r>
      <rPr>
        <b val="true"/>
        <sz val="11"/>
        <color rgb="FFFFFFFF"/>
        <rFont val="Noto Sans CJK SC"/>
        <family val="2"/>
      </rPr>
      <t xml:space="preserve">内部昇格</t>
    </r>
  </si>
  <si>
    <r>
      <rPr>
        <b val="true"/>
        <sz val="11"/>
        <color rgb="FFFFFFFF"/>
        <rFont val="Noto Sans CJK SC"/>
        <family val="2"/>
      </rPr>
      <t xml:space="preserve">案</t>
    </r>
    <r>
      <rPr>
        <b val="true"/>
        <sz val="11"/>
        <color rgb="FFFFFFFF"/>
        <rFont val="Arial"/>
        <family val="0"/>
        <charset val="1"/>
      </rPr>
      <t xml:space="preserve">2: </t>
    </r>
    <r>
      <rPr>
        <b val="true"/>
        <sz val="11"/>
        <color rgb="FFFFFFFF"/>
        <rFont val="Noto Sans CJK SC"/>
        <family val="2"/>
      </rPr>
      <t xml:space="preserve">他チームからの応援</t>
    </r>
  </si>
  <si>
    <r>
      <rPr>
        <b val="true"/>
        <sz val="11"/>
        <color rgb="FFFFFFFF"/>
        <rFont val="Noto Sans CJK SC"/>
        <family val="2"/>
      </rPr>
      <t xml:space="preserve">案</t>
    </r>
    <r>
      <rPr>
        <b val="true"/>
        <sz val="11"/>
        <color rgb="FFFFFFFF"/>
        <rFont val="Arial"/>
        <family val="0"/>
        <charset val="1"/>
      </rPr>
      <t xml:space="preserve">3: </t>
    </r>
    <r>
      <rPr>
        <b val="true"/>
        <sz val="11"/>
        <color rgb="FFFFFFFF"/>
        <rFont val="Noto Sans CJK SC"/>
        <family val="2"/>
      </rPr>
      <t xml:space="preserve">常駐化</t>
    </r>
    <r>
      <rPr>
        <b val="true"/>
        <sz val="11"/>
        <color rgb="FFFFFFFF"/>
        <rFont val="Arial"/>
        <family val="0"/>
        <charset val="1"/>
      </rPr>
      <t xml:space="preserve">+</t>
    </r>
    <r>
      <rPr>
        <b val="true"/>
        <sz val="11"/>
        <color rgb="FFFFFFFF"/>
        <rFont val="Noto Sans CJK SC"/>
        <family val="2"/>
      </rPr>
      <t xml:space="preserve">ローテーション制</t>
    </r>
  </si>
  <si>
    <r>
      <rPr>
        <b val="true"/>
        <sz val="11"/>
        <color rgb="FFFFFFFF"/>
        <rFont val="Noto Sans CJK SC"/>
        <family val="2"/>
      </rPr>
      <t xml:space="preserve">案</t>
    </r>
    <r>
      <rPr>
        <b val="true"/>
        <sz val="11"/>
        <color rgb="FFFFFFFF"/>
        <rFont val="Arial"/>
        <family val="0"/>
        <charset val="1"/>
      </rPr>
      <t xml:space="preserve">4: </t>
    </r>
    <r>
      <rPr>
        <b val="true"/>
        <sz val="11"/>
        <color rgb="FFFFFFFF"/>
        <rFont val="Noto Sans CJK SC"/>
        <family val="2"/>
      </rPr>
      <t xml:space="preserve">チーム編成の見直し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異動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</si>
  <si>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rFont val="Noto Sans CJK SC"/>
        <family val="2"/>
      </rPr>
      <t xml:space="preserve">チーム</t>
    </r>
    <r>
      <rPr>
        <b val="true"/>
        <sz val="11"/>
        <rFont val="Arial"/>
        <family val="0"/>
        <charset val="1"/>
      </rPr>
      <t xml:space="preserve">A / </t>
    </r>
    <r>
      <rPr>
        <b val="true"/>
        <sz val="11"/>
        <rFont val="Noto Sans CJK SC"/>
        <family val="2"/>
      </rPr>
      <t xml:space="preserve">消防設備</t>
    </r>
  </si>
  <si>
    <r>
      <rPr>
        <sz val="11"/>
        <color theme="1"/>
        <rFont val="Noto Sans CJK SC"/>
        <family val="2"/>
      </rPr>
      <t xml:space="preserve">佐藤 一郎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現在 単独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を教育担当に育てる</t>
    </r>
  </si>
  <si>
    <r>
      <rPr>
        <sz val="11"/>
        <color theme="1"/>
        <rFont val="Noto Sans CJK SC"/>
        <family val="2"/>
      </rPr>
      <t xml:space="preserve">鈴木 次郎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チーム</t>
    </r>
    <r>
      <rPr>
        <sz val="11"/>
        <color theme="1"/>
        <rFont val="Calibri"/>
        <family val="2"/>
        <charset val="1"/>
      </rPr>
      <t xml:space="preserve">B) </t>
    </r>
    <r>
      <rPr>
        <sz val="11"/>
        <color theme="1"/>
        <rFont val="Noto Sans CJK SC"/>
        <family val="2"/>
      </rPr>
      <t xml:space="preserve">を臨時にチーム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の早番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へ応援に回す</t>
    </r>
  </si>
  <si>
    <r>
      <rPr>
        <sz val="11"/>
        <color theme="1"/>
        <rFont val="Noto Sans CJK SC"/>
        <family val="2"/>
      </rPr>
      <t xml:space="preserve">佐藤 一郎など最もスキルの高いメンバーを一時的に教育専任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常日勤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にする。ただし固定化すると不公平感が出るため、対象者を数ヶ月ごとに交代するローテーション制にする</t>
    </r>
  </si>
  <si>
    <r>
      <rPr>
        <sz val="11"/>
        <color theme="1"/>
        <rFont val="Noto Sans CJK SC"/>
        <family val="2"/>
      </rPr>
      <t xml:space="preserve">鈴木 次郎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チーム</t>
    </r>
    <r>
      <rPr>
        <sz val="11"/>
        <color theme="1"/>
        <rFont val="Calibri"/>
        <family val="2"/>
        <charset val="1"/>
      </rPr>
      <t xml:space="preserve">B)</t>
    </r>
    <r>
      <rPr>
        <sz val="11"/>
        <color theme="1"/>
        <rFont val="Noto Sans CJK SC"/>
        <family val="2"/>
      </rPr>
      <t xml:space="preserve">を チーム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へ恒久的に異動する。異動元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チーム</t>
    </r>
    <r>
      <rPr>
        <sz val="11"/>
        <color theme="1"/>
        <rFont val="Calibri"/>
        <family val="2"/>
        <charset val="1"/>
      </rPr>
      <t xml:space="preserve">B)</t>
    </r>
    <r>
      <rPr>
        <sz val="11"/>
        <color theme="1"/>
        <rFont val="Noto Sans CJK SC"/>
        <family val="2"/>
      </rPr>
      <t xml:space="preserve">には他に単独対応以上の人が残るため、教育体制は維持される</t>
    </r>
  </si>
  <si>
    <r>
      <rPr>
        <b val="true"/>
        <sz val="11"/>
        <rFont val="Noto Sans CJK SC"/>
        <family val="2"/>
      </rPr>
      <t xml:space="preserve">チーム</t>
    </r>
    <r>
      <rPr>
        <b val="true"/>
        <sz val="11"/>
        <rFont val="Arial"/>
        <family val="0"/>
        <charset val="1"/>
      </rPr>
      <t xml:space="preserve">B / </t>
    </r>
    <r>
      <rPr>
        <b val="true"/>
        <sz val="11"/>
        <rFont val="Noto Sans CJK SC"/>
        <family val="2"/>
      </rPr>
      <t xml:space="preserve">空調設備</t>
    </r>
  </si>
  <si>
    <r>
      <rPr>
        <sz val="11"/>
        <color theme="1"/>
        <rFont val="Noto Sans CJK SC"/>
        <family val="2"/>
      </rPr>
      <t xml:space="preserve">鈴木 次郎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現在 単独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を教育担当に育てる</t>
    </r>
  </si>
  <si>
    <r>
      <rPr>
        <sz val="11"/>
        <color theme="1"/>
        <rFont val="Noto Sans CJK SC"/>
        <family val="2"/>
      </rPr>
      <t xml:space="preserve">佐藤 一郎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チーム</t>
    </r>
    <r>
      <rPr>
        <sz val="11"/>
        <color theme="1"/>
        <rFont val="Calibri"/>
        <family val="2"/>
        <charset val="1"/>
      </rPr>
      <t xml:space="preserve">A)</t>
    </r>
    <r>
      <rPr>
        <sz val="11"/>
        <color theme="1"/>
        <rFont val="Noto Sans CJK SC"/>
        <family val="2"/>
      </rPr>
      <t xml:space="preserve">、高橋 三郎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チーム</t>
    </r>
    <r>
      <rPr>
        <sz val="11"/>
        <color theme="1"/>
        <rFont val="Calibri"/>
        <family val="2"/>
        <charset val="1"/>
      </rPr>
      <t xml:space="preserve">C) </t>
    </r>
    <r>
      <rPr>
        <sz val="11"/>
        <color theme="1"/>
        <rFont val="Noto Sans CJK SC"/>
        <family val="2"/>
      </rPr>
      <t xml:space="preserve">を臨時にチーム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の早番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へ応援に回す</t>
    </r>
  </si>
  <si>
    <r>
      <rPr>
        <sz val="11"/>
        <color theme="1"/>
        <rFont val="Noto Sans CJK SC"/>
        <family val="2"/>
      </rPr>
      <t xml:space="preserve">鈴木 次郎など最もスキルの高いメンバーを一時的に教育専任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常日勤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にする。ただし固定化すると不公平感が出るため、対象者を数ヶ月ごとに交代するローテーション制にする</t>
    </r>
  </si>
  <si>
    <r>
      <rPr>
        <sz val="11"/>
        <color theme="1"/>
        <rFont val="Noto Sans CJK SC"/>
        <family val="2"/>
      </rPr>
      <t xml:space="preserve">佐藤 一郎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チーム</t>
    </r>
    <r>
      <rPr>
        <sz val="11"/>
        <color theme="1"/>
        <rFont val="Calibri"/>
        <family val="2"/>
        <charset val="1"/>
      </rPr>
      <t xml:space="preserve">A)</t>
    </r>
    <r>
      <rPr>
        <sz val="11"/>
        <color theme="1"/>
        <rFont val="Noto Sans CJK SC"/>
        <family val="2"/>
      </rPr>
      <t xml:space="preserve">を チーム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へ恒久的に異動する。異動元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チーム</t>
    </r>
    <r>
      <rPr>
        <sz val="11"/>
        <color theme="1"/>
        <rFont val="Calibri"/>
        <family val="2"/>
        <charset val="1"/>
      </rPr>
      <t xml:space="preserve">A)</t>
    </r>
    <r>
      <rPr>
        <sz val="11"/>
        <color theme="1"/>
        <rFont val="Noto Sans CJK SC"/>
        <family val="2"/>
      </rPr>
      <t xml:space="preserve">には他に単独対応以上の人が残るため、教育体制は維持される</t>
    </r>
  </si>
  <si>
    <r>
      <rPr>
        <b val="true"/>
        <sz val="11"/>
        <rFont val="Noto Sans CJK SC"/>
        <family val="2"/>
      </rPr>
      <t xml:space="preserve">チーム</t>
    </r>
    <r>
      <rPr>
        <b val="true"/>
        <sz val="11"/>
        <rFont val="Arial"/>
        <family val="0"/>
        <charset val="1"/>
      </rPr>
      <t xml:space="preserve">B / </t>
    </r>
    <r>
      <rPr>
        <b val="true"/>
        <sz val="11"/>
        <rFont val="Noto Sans CJK SC"/>
        <family val="2"/>
      </rPr>
      <t xml:space="preserve">監視盤</t>
    </r>
  </si>
  <si>
    <r>
      <rPr>
        <b val="true"/>
        <sz val="11"/>
        <rFont val="Noto Sans CJK SC"/>
        <family val="2"/>
      </rPr>
      <t xml:space="preserve">チーム</t>
    </r>
    <r>
      <rPr>
        <b val="true"/>
        <sz val="11"/>
        <rFont val="Arial"/>
        <family val="0"/>
        <charset val="1"/>
      </rPr>
      <t xml:space="preserve">C / </t>
    </r>
    <r>
      <rPr>
        <b val="true"/>
        <sz val="11"/>
        <rFont val="Noto Sans CJK SC"/>
        <family val="2"/>
      </rPr>
      <t xml:space="preserve">受変電設備</t>
    </r>
  </si>
  <si>
    <r>
      <rPr>
        <sz val="11"/>
        <color theme="1"/>
        <rFont val="Noto Sans CJK SC"/>
        <family val="2"/>
      </rPr>
      <t xml:space="preserve">高橋 三郎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現在 単独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を教育担当に育てる</t>
    </r>
  </si>
  <si>
    <r>
      <rPr>
        <sz val="11"/>
        <color theme="1"/>
        <rFont val="Noto Sans CJK SC"/>
        <family val="2"/>
      </rPr>
      <t xml:space="preserve">佐藤 一郎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チーム</t>
    </r>
    <r>
      <rPr>
        <sz val="11"/>
        <color theme="1"/>
        <rFont val="Calibri"/>
        <family val="2"/>
        <charset val="1"/>
      </rPr>
      <t xml:space="preserve">A)</t>
    </r>
    <r>
      <rPr>
        <sz val="11"/>
        <color theme="1"/>
        <rFont val="Noto Sans CJK SC"/>
        <family val="2"/>
      </rPr>
      <t xml:space="preserve">、鈴木 次郎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チーム</t>
    </r>
    <r>
      <rPr>
        <sz val="11"/>
        <color theme="1"/>
        <rFont val="Calibri"/>
        <family val="2"/>
        <charset val="1"/>
      </rPr>
      <t xml:space="preserve">B) </t>
    </r>
    <r>
      <rPr>
        <sz val="11"/>
        <color theme="1"/>
        <rFont val="Noto Sans CJK SC"/>
        <family val="2"/>
      </rPr>
      <t xml:space="preserve">を臨時にチーム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の早番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へ応援に回す</t>
    </r>
  </si>
  <si>
    <r>
      <rPr>
        <sz val="11"/>
        <color theme="1"/>
        <rFont val="Noto Sans CJK SC"/>
        <family val="2"/>
      </rPr>
      <t xml:space="preserve">高橋 三郎など最もスキルの高いメンバーを一時的に教育専任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常日勤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にする。ただし固定化すると不公平感が出るため、対象者を数ヶ月ごとに交代するローテーション制にする</t>
    </r>
  </si>
  <si>
    <r>
      <rPr>
        <sz val="11"/>
        <color theme="1"/>
        <rFont val="Noto Sans CJK SC"/>
        <family val="2"/>
      </rPr>
      <t xml:space="preserve">佐藤 一郎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チーム</t>
    </r>
    <r>
      <rPr>
        <sz val="11"/>
        <color theme="1"/>
        <rFont val="Calibri"/>
        <family val="2"/>
        <charset val="1"/>
      </rPr>
      <t xml:space="preserve">A)</t>
    </r>
    <r>
      <rPr>
        <sz val="11"/>
        <color theme="1"/>
        <rFont val="Noto Sans CJK SC"/>
        <family val="2"/>
      </rPr>
      <t xml:space="preserve">を チーム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へ恒久的に異動する。異動元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チーム</t>
    </r>
    <r>
      <rPr>
        <sz val="11"/>
        <color theme="1"/>
        <rFont val="Calibri"/>
        <family val="2"/>
        <charset val="1"/>
      </rPr>
      <t xml:space="preserve">A)</t>
    </r>
    <r>
      <rPr>
        <sz val="11"/>
        <color theme="1"/>
        <rFont val="Noto Sans CJK SC"/>
        <family val="2"/>
      </rPr>
      <t xml:space="preserve">には他に単独対応以上の人が残るため、教育体制は維持される</t>
    </r>
  </si>
  <si>
    <r>
      <rPr>
        <b val="true"/>
        <sz val="11"/>
        <rFont val="Noto Sans CJK SC"/>
        <family val="2"/>
      </rPr>
      <t xml:space="preserve">チーム</t>
    </r>
    <r>
      <rPr>
        <b val="true"/>
        <sz val="11"/>
        <rFont val="Arial"/>
        <family val="0"/>
        <charset val="1"/>
      </rPr>
      <t xml:space="preserve">C / </t>
    </r>
    <r>
      <rPr>
        <b val="true"/>
        <sz val="11"/>
        <rFont val="Noto Sans CJK SC"/>
        <family val="2"/>
      </rPr>
      <t xml:space="preserve">消防設備</t>
    </r>
  </si>
  <si>
    <r>
      <rPr>
        <sz val="11"/>
        <color theme="1"/>
        <rFont val="Noto Sans CJK SC"/>
        <family val="2"/>
      </rPr>
      <t xml:space="preserve">鈴木 次郎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チーム</t>
    </r>
    <r>
      <rPr>
        <sz val="11"/>
        <color theme="1"/>
        <rFont val="Calibri"/>
        <family val="2"/>
        <charset val="1"/>
      </rPr>
      <t xml:space="preserve">B) </t>
    </r>
    <r>
      <rPr>
        <sz val="11"/>
        <color theme="1"/>
        <rFont val="Noto Sans CJK SC"/>
        <family val="2"/>
      </rPr>
      <t xml:space="preserve">を臨時にチーム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の早番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へ応援に回す</t>
    </r>
  </si>
  <si>
    <r>
      <rPr>
        <sz val="11"/>
        <color theme="1"/>
        <rFont val="Noto Sans CJK SC"/>
        <family val="2"/>
      </rPr>
      <t xml:space="preserve">鈴木 次郎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チーム</t>
    </r>
    <r>
      <rPr>
        <sz val="11"/>
        <color theme="1"/>
        <rFont val="Calibri"/>
        <family val="2"/>
        <charset val="1"/>
      </rPr>
      <t xml:space="preserve">B)</t>
    </r>
    <r>
      <rPr>
        <sz val="11"/>
        <color theme="1"/>
        <rFont val="Noto Sans CJK SC"/>
        <family val="2"/>
      </rPr>
      <t xml:space="preserve">を チーム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へ恒久的に異動する。異動元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チーム</t>
    </r>
    <r>
      <rPr>
        <sz val="11"/>
        <color theme="1"/>
        <rFont val="Calibri"/>
        <family val="2"/>
        <charset val="1"/>
      </rPr>
      <t xml:space="preserve">B)</t>
    </r>
    <r>
      <rPr>
        <sz val="11"/>
        <color theme="1"/>
        <rFont val="Noto Sans CJK SC"/>
        <family val="2"/>
      </rPr>
      <t xml:space="preserve">には他に単独対応以上の人が残るため、教育体制は維持される</t>
    </r>
  </si>
  <si>
    <r>
      <rPr>
        <b val="true"/>
        <sz val="11"/>
        <rFont val="Noto Sans CJK SC"/>
        <family val="2"/>
      </rPr>
      <t xml:space="preserve">チーム</t>
    </r>
    <r>
      <rPr>
        <b val="true"/>
        <sz val="11"/>
        <rFont val="Arial"/>
        <family val="0"/>
        <charset val="1"/>
      </rPr>
      <t xml:space="preserve">D / </t>
    </r>
    <r>
      <rPr>
        <b val="true"/>
        <sz val="11"/>
        <rFont val="Noto Sans CJK SC"/>
        <family val="2"/>
      </rPr>
      <t xml:space="preserve">受変電設備</t>
    </r>
  </si>
  <si>
    <r>
      <rPr>
        <sz val="11"/>
        <color theme="1"/>
        <rFont val="Noto Sans CJK SC"/>
        <family val="2"/>
      </rPr>
      <t xml:space="preserve">加藤 大輔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現在 単独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を教育担当に育てる</t>
    </r>
  </si>
  <si>
    <r>
      <rPr>
        <sz val="11"/>
        <color theme="1"/>
        <rFont val="Noto Sans CJK SC"/>
        <family val="2"/>
      </rPr>
      <t xml:space="preserve">佐藤 一郎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チーム</t>
    </r>
    <r>
      <rPr>
        <sz val="11"/>
        <color theme="1"/>
        <rFont val="Calibri"/>
        <family val="2"/>
        <charset val="1"/>
      </rPr>
      <t xml:space="preserve">A)</t>
    </r>
    <r>
      <rPr>
        <sz val="11"/>
        <color theme="1"/>
        <rFont val="Noto Sans CJK SC"/>
        <family val="2"/>
      </rPr>
      <t xml:space="preserve">、鈴木 次郎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チーム</t>
    </r>
    <r>
      <rPr>
        <sz val="11"/>
        <color theme="1"/>
        <rFont val="Calibri"/>
        <family val="2"/>
        <charset val="1"/>
      </rPr>
      <t xml:space="preserve">B) </t>
    </r>
    <r>
      <rPr>
        <sz val="11"/>
        <color theme="1"/>
        <rFont val="Noto Sans CJK SC"/>
        <family val="2"/>
      </rPr>
      <t xml:space="preserve">を臨時にチーム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の早番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へ応援に回す</t>
    </r>
  </si>
  <si>
    <r>
      <rPr>
        <sz val="11"/>
        <color theme="1"/>
        <rFont val="Noto Sans CJK SC"/>
        <family val="2"/>
      </rPr>
      <t xml:space="preserve">加藤 大輔など最もスキルの高いメンバーを一時的に教育専任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常日勤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にする。ただし固定化すると不公平感が出るため、対象者を数ヶ月ごとに交代するローテーション制にする</t>
    </r>
  </si>
  <si>
    <r>
      <rPr>
        <sz val="11"/>
        <color theme="1"/>
        <rFont val="Noto Sans CJK SC"/>
        <family val="2"/>
      </rPr>
      <t xml:space="preserve">佐藤 一郎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チーム</t>
    </r>
    <r>
      <rPr>
        <sz val="11"/>
        <color theme="1"/>
        <rFont val="Calibri"/>
        <family val="2"/>
        <charset val="1"/>
      </rPr>
      <t xml:space="preserve">A)</t>
    </r>
    <r>
      <rPr>
        <sz val="11"/>
        <color theme="1"/>
        <rFont val="Noto Sans CJK SC"/>
        <family val="2"/>
      </rPr>
      <t xml:space="preserve">を チーム</t>
    </r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Noto Sans CJK SC"/>
        <family val="2"/>
      </rPr>
      <t xml:space="preserve">へ恒久的に異動する。異動元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チーム</t>
    </r>
    <r>
      <rPr>
        <sz val="11"/>
        <color theme="1"/>
        <rFont val="Calibri"/>
        <family val="2"/>
        <charset val="1"/>
      </rPr>
      <t xml:space="preserve">A)</t>
    </r>
    <r>
      <rPr>
        <sz val="11"/>
        <color theme="1"/>
        <rFont val="Noto Sans CJK SC"/>
        <family val="2"/>
      </rPr>
      <t xml:space="preserve">には他に単独対応以上の人が残るため、教育体制は維持される</t>
    </r>
  </si>
  <si>
    <r>
      <rPr>
        <b val="true"/>
        <sz val="11"/>
        <rFont val="Noto Sans CJK SC"/>
        <family val="2"/>
      </rPr>
      <t xml:space="preserve">チーム</t>
    </r>
    <r>
      <rPr>
        <b val="true"/>
        <sz val="11"/>
        <rFont val="Arial"/>
        <family val="0"/>
        <charset val="1"/>
      </rPr>
      <t xml:space="preserve">D / </t>
    </r>
    <r>
      <rPr>
        <b val="true"/>
        <sz val="11"/>
        <rFont val="Noto Sans CJK SC"/>
        <family val="2"/>
      </rPr>
      <t xml:space="preserve">空調設備</t>
    </r>
  </si>
  <si>
    <r>
      <rPr>
        <sz val="11"/>
        <color theme="1"/>
        <rFont val="Noto Sans CJK SC"/>
        <family val="2"/>
      </rPr>
      <t xml:space="preserve">加藤 大輔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現在 教育担当補助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を教育担当に育てる</t>
    </r>
  </si>
  <si>
    <r>
      <rPr>
        <sz val="11"/>
        <color theme="1"/>
        <rFont val="Noto Sans CJK SC"/>
        <family val="2"/>
      </rPr>
      <t xml:space="preserve">佐藤 一郎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チーム</t>
    </r>
    <r>
      <rPr>
        <sz val="11"/>
        <color theme="1"/>
        <rFont val="Calibri"/>
        <family val="2"/>
        <charset val="1"/>
      </rPr>
      <t xml:space="preserve">A)</t>
    </r>
    <r>
      <rPr>
        <sz val="11"/>
        <color theme="1"/>
        <rFont val="Noto Sans CJK SC"/>
        <family val="2"/>
      </rPr>
      <t xml:space="preserve">、高橋 三郎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チーム</t>
    </r>
    <r>
      <rPr>
        <sz val="11"/>
        <color theme="1"/>
        <rFont val="Calibri"/>
        <family val="2"/>
        <charset val="1"/>
      </rPr>
      <t xml:space="preserve">C) </t>
    </r>
    <r>
      <rPr>
        <sz val="11"/>
        <color theme="1"/>
        <rFont val="Noto Sans CJK SC"/>
        <family val="2"/>
      </rPr>
      <t xml:space="preserve">を臨時にチーム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の早番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へ応援に回す</t>
    </r>
  </si>
  <si>
    <r>
      <rPr>
        <b val="true"/>
        <sz val="11"/>
        <rFont val="Noto Sans CJK SC"/>
        <family val="2"/>
      </rPr>
      <t xml:space="preserve">チーム</t>
    </r>
    <r>
      <rPr>
        <b val="true"/>
        <sz val="11"/>
        <rFont val="Arial"/>
        <family val="0"/>
        <charset val="1"/>
      </rPr>
      <t xml:space="preserve">D / </t>
    </r>
    <r>
      <rPr>
        <b val="true"/>
        <sz val="11"/>
        <rFont val="Noto Sans CJK SC"/>
        <family val="2"/>
      </rPr>
      <t xml:space="preserve">消防設備</t>
    </r>
  </si>
  <si>
    <r>
      <rPr>
        <sz val="11"/>
        <color theme="1"/>
        <rFont val="Noto Sans CJK SC"/>
        <family val="2"/>
      </rPr>
      <t xml:space="preserve">鈴木 次郎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チーム</t>
    </r>
    <r>
      <rPr>
        <sz val="11"/>
        <color theme="1"/>
        <rFont val="Calibri"/>
        <family val="2"/>
        <charset val="1"/>
      </rPr>
      <t xml:space="preserve">B) </t>
    </r>
    <r>
      <rPr>
        <sz val="11"/>
        <color theme="1"/>
        <rFont val="Noto Sans CJK SC"/>
        <family val="2"/>
      </rPr>
      <t xml:space="preserve">を臨時にチーム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の早番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へ応援に回す</t>
    </r>
  </si>
  <si>
    <r>
      <rPr>
        <sz val="11"/>
        <color theme="1"/>
        <rFont val="Noto Sans CJK SC"/>
        <family val="2"/>
      </rPr>
      <t xml:space="preserve">鈴木 次郎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チーム</t>
    </r>
    <r>
      <rPr>
        <sz val="11"/>
        <color theme="1"/>
        <rFont val="Calibri"/>
        <family val="2"/>
        <charset val="1"/>
      </rPr>
      <t xml:space="preserve">B)</t>
    </r>
    <r>
      <rPr>
        <sz val="11"/>
        <color theme="1"/>
        <rFont val="Noto Sans CJK SC"/>
        <family val="2"/>
      </rPr>
      <t xml:space="preserve">を チーム</t>
    </r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Noto Sans CJK SC"/>
        <family val="2"/>
      </rPr>
      <t xml:space="preserve">へ恒久的に異動する。異動元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チーム</t>
    </r>
    <r>
      <rPr>
        <sz val="11"/>
        <color theme="1"/>
        <rFont val="Calibri"/>
        <family val="2"/>
        <charset val="1"/>
      </rPr>
      <t xml:space="preserve">B)</t>
    </r>
    <r>
      <rPr>
        <sz val="11"/>
        <color theme="1"/>
        <rFont val="Noto Sans CJK SC"/>
        <family val="2"/>
      </rPr>
      <t xml:space="preserve">には他に単独対応以上の人が残るため、教育体制は維持される</t>
    </r>
  </si>
  <si>
    <r>
      <rPr>
        <b val="true"/>
        <sz val="11"/>
        <rFont val="Noto Sans CJK SC"/>
        <family val="2"/>
      </rPr>
      <t xml:space="preserve">チーム</t>
    </r>
    <r>
      <rPr>
        <b val="true"/>
        <sz val="11"/>
        <rFont val="Arial"/>
        <family val="0"/>
        <charset val="1"/>
      </rPr>
      <t xml:space="preserve">D / </t>
    </r>
    <r>
      <rPr>
        <b val="true"/>
        <sz val="11"/>
        <rFont val="Noto Sans CJK SC"/>
        <family val="2"/>
      </rPr>
      <t xml:space="preserve">監視盤</t>
    </r>
  </si>
  <si>
    <r>
      <rPr>
        <b val="true"/>
        <sz val="11"/>
        <rFont val="Noto Sans CJK SC"/>
        <family val="2"/>
      </rPr>
      <t xml:space="preserve">チーム</t>
    </r>
    <r>
      <rPr>
        <b val="true"/>
        <sz val="11"/>
        <rFont val="Arial"/>
        <family val="0"/>
        <charset val="1"/>
      </rPr>
      <t xml:space="preserve">E / </t>
    </r>
    <r>
      <rPr>
        <b val="true"/>
        <sz val="11"/>
        <rFont val="Noto Sans CJK SC"/>
        <family val="2"/>
      </rPr>
      <t xml:space="preserve">受変電設備</t>
    </r>
  </si>
  <si>
    <r>
      <rPr>
        <sz val="11"/>
        <color theme="1"/>
        <rFont val="Noto Sans CJK SC"/>
        <family val="2"/>
      </rPr>
      <t xml:space="preserve">吉田 匠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現在 単独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を教育担当に育てる</t>
    </r>
  </si>
  <si>
    <r>
      <rPr>
        <sz val="11"/>
        <color theme="1"/>
        <rFont val="Noto Sans CJK SC"/>
        <family val="2"/>
      </rPr>
      <t xml:space="preserve">佐藤 一郎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チーム</t>
    </r>
    <r>
      <rPr>
        <sz val="11"/>
        <color theme="1"/>
        <rFont val="Calibri"/>
        <family val="2"/>
        <charset val="1"/>
      </rPr>
      <t xml:space="preserve">A)</t>
    </r>
    <r>
      <rPr>
        <sz val="11"/>
        <color theme="1"/>
        <rFont val="Noto Sans CJK SC"/>
        <family val="2"/>
      </rPr>
      <t xml:space="preserve">、鈴木 次郎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チーム</t>
    </r>
    <r>
      <rPr>
        <sz val="11"/>
        <color theme="1"/>
        <rFont val="Calibri"/>
        <family val="2"/>
        <charset val="1"/>
      </rPr>
      <t xml:space="preserve">B) </t>
    </r>
    <r>
      <rPr>
        <sz val="11"/>
        <color theme="1"/>
        <rFont val="Noto Sans CJK SC"/>
        <family val="2"/>
      </rPr>
      <t xml:space="preserve">を臨時にチーム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の早番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へ応援に回す</t>
    </r>
  </si>
  <si>
    <r>
      <rPr>
        <sz val="11"/>
        <color theme="1"/>
        <rFont val="Noto Sans CJK SC"/>
        <family val="2"/>
      </rPr>
      <t xml:space="preserve">吉田 匠など最もスキルの高いメンバーを一時的に教育専任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常日勤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にする。ただし固定化すると不公平感が出るため、対象者を数ヶ月ごとに交代するローテーション制にする</t>
    </r>
  </si>
  <si>
    <r>
      <rPr>
        <sz val="11"/>
        <color theme="1"/>
        <rFont val="Noto Sans CJK SC"/>
        <family val="2"/>
      </rPr>
      <t xml:space="preserve">佐藤 一郎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チーム</t>
    </r>
    <r>
      <rPr>
        <sz val="11"/>
        <color theme="1"/>
        <rFont val="Calibri"/>
        <family val="2"/>
        <charset val="1"/>
      </rPr>
      <t xml:space="preserve">A)</t>
    </r>
    <r>
      <rPr>
        <sz val="11"/>
        <color theme="1"/>
        <rFont val="Noto Sans CJK SC"/>
        <family val="2"/>
      </rPr>
      <t xml:space="preserve">を チーム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へ恒久的に異動する。異動元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チーム</t>
    </r>
    <r>
      <rPr>
        <sz val="11"/>
        <color theme="1"/>
        <rFont val="Calibri"/>
        <family val="2"/>
        <charset val="1"/>
      </rPr>
      <t xml:space="preserve">A)</t>
    </r>
    <r>
      <rPr>
        <sz val="11"/>
        <color theme="1"/>
        <rFont val="Noto Sans CJK SC"/>
        <family val="2"/>
      </rPr>
      <t xml:space="preserve">には他に単独対応以上の人が残るため、教育体制は維持される</t>
    </r>
  </si>
  <si>
    <r>
      <rPr>
        <b val="true"/>
        <sz val="11"/>
        <rFont val="Noto Sans CJK SC"/>
        <family val="2"/>
      </rPr>
      <t xml:space="preserve">チーム</t>
    </r>
    <r>
      <rPr>
        <b val="true"/>
        <sz val="11"/>
        <rFont val="Arial"/>
        <family val="0"/>
        <charset val="1"/>
      </rPr>
      <t xml:space="preserve">E / </t>
    </r>
    <r>
      <rPr>
        <b val="true"/>
        <sz val="11"/>
        <rFont val="Noto Sans CJK SC"/>
        <family val="2"/>
      </rPr>
      <t xml:space="preserve">空調設備</t>
    </r>
  </si>
  <si>
    <r>
      <rPr>
        <sz val="11"/>
        <color theme="1"/>
        <rFont val="Noto Sans CJK SC"/>
        <family val="2"/>
      </rPr>
      <t xml:space="preserve">佐藤 一郎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チーム</t>
    </r>
    <r>
      <rPr>
        <sz val="11"/>
        <color theme="1"/>
        <rFont val="Calibri"/>
        <family val="2"/>
        <charset val="1"/>
      </rPr>
      <t xml:space="preserve">A)</t>
    </r>
    <r>
      <rPr>
        <sz val="11"/>
        <color theme="1"/>
        <rFont val="Noto Sans CJK SC"/>
        <family val="2"/>
      </rPr>
      <t xml:space="preserve">、高橋 三郎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チーム</t>
    </r>
    <r>
      <rPr>
        <sz val="11"/>
        <color theme="1"/>
        <rFont val="Calibri"/>
        <family val="2"/>
        <charset val="1"/>
      </rPr>
      <t xml:space="preserve">C) </t>
    </r>
    <r>
      <rPr>
        <sz val="11"/>
        <color theme="1"/>
        <rFont val="Noto Sans CJK SC"/>
        <family val="2"/>
      </rPr>
      <t xml:space="preserve">を臨時にチーム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の早番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へ応援に回す</t>
    </r>
  </si>
  <si>
    <r>
      <rPr>
        <b val="true"/>
        <sz val="11"/>
        <rFont val="Noto Sans CJK SC"/>
        <family val="2"/>
      </rPr>
      <t xml:space="preserve">チーム</t>
    </r>
    <r>
      <rPr>
        <b val="true"/>
        <sz val="11"/>
        <rFont val="Arial"/>
        <family val="0"/>
        <charset val="1"/>
      </rPr>
      <t xml:space="preserve">E / </t>
    </r>
    <r>
      <rPr>
        <b val="true"/>
        <sz val="11"/>
        <rFont val="Noto Sans CJK SC"/>
        <family val="2"/>
      </rPr>
      <t xml:space="preserve">消防設備</t>
    </r>
  </si>
  <si>
    <r>
      <rPr>
        <sz val="11"/>
        <color theme="1"/>
        <rFont val="Noto Sans CJK SC"/>
        <family val="2"/>
      </rPr>
      <t xml:space="preserve">吉田 匠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現在 教育担当補助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を教育担当に育てる</t>
    </r>
  </si>
  <si>
    <r>
      <rPr>
        <sz val="11"/>
        <color theme="1"/>
        <rFont val="Noto Sans CJK SC"/>
        <family val="2"/>
      </rPr>
      <t xml:space="preserve">鈴木 次郎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チーム</t>
    </r>
    <r>
      <rPr>
        <sz val="11"/>
        <color theme="1"/>
        <rFont val="Calibri"/>
        <family val="2"/>
        <charset val="1"/>
      </rPr>
      <t xml:space="preserve">B) </t>
    </r>
    <r>
      <rPr>
        <sz val="11"/>
        <color theme="1"/>
        <rFont val="Noto Sans CJK SC"/>
        <family val="2"/>
      </rPr>
      <t xml:space="preserve">を臨時にチーム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の早番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へ応援に回す</t>
    </r>
  </si>
  <si>
    <r>
      <rPr>
        <sz val="11"/>
        <color theme="1"/>
        <rFont val="Noto Sans CJK SC"/>
        <family val="2"/>
      </rPr>
      <t xml:space="preserve">鈴木 次郎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チーム</t>
    </r>
    <r>
      <rPr>
        <sz val="11"/>
        <color theme="1"/>
        <rFont val="Calibri"/>
        <family val="2"/>
        <charset val="1"/>
      </rPr>
      <t xml:space="preserve">B)</t>
    </r>
    <r>
      <rPr>
        <sz val="11"/>
        <color theme="1"/>
        <rFont val="Noto Sans CJK SC"/>
        <family val="2"/>
      </rPr>
      <t xml:space="preserve">を チーム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へ恒久的に異動する。異動元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チーム</t>
    </r>
    <r>
      <rPr>
        <sz val="11"/>
        <color theme="1"/>
        <rFont val="Calibri"/>
        <family val="2"/>
        <charset val="1"/>
      </rPr>
      <t xml:space="preserve">B)</t>
    </r>
    <r>
      <rPr>
        <sz val="11"/>
        <color theme="1"/>
        <rFont val="Noto Sans CJK SC"/>
        <family val="2"/>
      </rPr>
      <t xml:space="preserve">には他に単独対応以上の人が残るため、教育体制は維持される</t>
    </r>
  </si>
  <si>
    <r>
      <rPr>
        <b val="true"/>
        <sz val="11"/>
        <rFont val="Noto Sans CJK SC"/>
        <family val="2"/>
      </rPr>
      <t xml:space="preserve">チーム</t>
    </r>
    <r>
      <rPr>
        <b val="true"/>
        <sz val="11"/>
        <rFont val="Arial"/>
        <family val="0"/>
        <charset val="1"/>
      </rPr>
      <t xml:space="preserve">E / </t>
    </r>
    <r>
      <rPr>
        <b val="true"/>
        <sz val="11"/>
        <rFont val="Noto Sans CJK SC"/>
        <family val="2"/>
      </rPr>
      <t xml:space="preserve">監視盤</t>
    </r>
  </si>
  <si>
    <r>
      <rPr>
        <i val="true"/>
        <sz val="9"/>
        <rFont val="Noto Sans CJK SC"/>
        <family val="2"/>
      </rPr>
      <t xml:space="preserve">「常駐化</t>
    </r>
    <r>
      <rPr>
        <i val="true"/>
        <sz val="9"/>
        <rFont val="Arial"/>
        <family val="0"/>
        <charset val="1"/>
      </rPr>
      <t xml:space="preserve">+</t>
    </r>
    <r>
      <rPr>
        <i val="true"/>
        <sz val="9"/>
        <rFont val="Noto Sans CJK SC"/>
        <family val="2"/>
      </rPr>
      <t xml:space="preserve">ローテーション制」は、最もスキルの高いメンバーを一時的に教育専任</t>
    </r>
    <r>
      <rPr>
        <i val="true"/>
        <sz val="9"/>
        <rFont val="Arial"/>
        <family val="0"/>
        <charset val="1"/>
      </rPr>
      <t xml:space="preserve">(</t>
    </r>
    <r>
      <rPr>
        <i val="true"/>
        <sz val="9"/>
        <rFont val="Noto Sans CJK SC"/>
        <family val="2"/>
      </rPr>
      <t xml:space="preserve">常日勤</t>
    </r>
    <r>
      <rPr>
        <i val="true"/>
        <sz val="9"/>
        <rFont val="Arial"/>
        <family val="0"/>
        <charset val="1"/>
      </rPr>
      <t xml:space="preserve">)</t>
    </r>
    <r>
      <rPr>
        <i val="true"/>
        <sz val="9"/>
        <rFont val="Noto Sans CJK SC"/>
        <family val="2"/>
      </rPr>
      <t xml:space="preserve">にする案。ただし特定の</t>
    </r>
    <r>
      <rPr>
        <i val="true"/>
        <sz val="9"/>
        <rFont val="Arial"/>
        <family val="0"/>
        <charset val="1"/>
      </rPr>
      <t xml:space="preserve">1</t>
    </r>
    <r>
      <rPr>
        <i val="true"/>
        <sz val="9"/>
        <rFont val="Noto Sans CJK SC"/>
        <family val="2"/>
      </rPr>
      <t xml:space="preserve">人に固定すると不公平感が出るため、対象者を数ヶ月ごとに交代する運用を想定している。</t>
    </r>
  </si>
  <si>
    <t xml:space="preserve">経験月数</t>
  </si>
  <si>
    <t xml:space="preserve">資格</t>
  </si>
  <si>
    <t xml:space="preserve">受変電設備段階</t>
  </si>
  <si>
    <t xml:space="preserve">空調設備段階</t>
  </si>
  <si>
    <t xml:space="preserve">消防設備段階</t>
  </si>
  <si>
    <t xml:space="preserve">監視盤段階</t>
  </si>
  <si>
    <t xml:space="preserve">バックアップ可能業務</t>
  </si>
  <si>
    <r>
      <rPr>
        <b val="true"/>
        <sz val="11"/>
        <color rgb="FFFFFFFF"/>
        <rFont val="Noto Sans CJK SC"/>
        <family val="2"/>
      </rPr>
      <t xml:space="preserve">受変電</t>
    </r>
    <r>
      <rPr>
        <b val="true"/>
        <sz val="11"/>
        <color rgb="FFFFFFFF"/>
        <rFont val="Arial"/>
        <family val="0"/>
        <charset val="1"/>
      </rPr>
      <t xml:space="preserve">_</t>
    </r>
    <r>
      <rPr>
        <b val="true"/>
        <sz val="11"/>
        <color rgb="FFFFFFFF"/>
        <rFont val="Noto Sans CJK SC"/>
        <family val="2"/>
      </rPr>
      <t xml:space="preserve">数値</t>
    </r>
  </si>
  <si>
    <r>
      <rPr>
        <b val="true"/>
        <sz val="11"/>
        <color rgb="FFFFFFFF"/>
        <rFont val="Noto Sans CJK SC"/>
        <family val="2"/>
      </rPr>
      <t xml:space="preserve">空調</t>
    </r>
    <r>
      <rPr>
        <b val="true"/>
        <sz val="11"/>
        <color rgb="FFFFFFFF"/>
        <rFont val="Arial"/>
        <family val="0"/>
        <charset val="1"/>
      </rPr>
      <t xml:space="preserve">_</t>
    </r>
    <r>
      <rPr>
        <b val="true"/>
        <sz val="11"/>
        <color rgb="FFFFFFFF"/>
        <rFont val="Noto Sans CJK SC"/>
        <family val="2"/>
      </rPr>
      <t xml:space="preserve">数値</t>
    </r>
  </si>
  <si>
    <r>
      <rPr>
        <b val="true"/>
        <sz val="11"/>
        <color rgb="FFFFFFFF"/>
        <rFont val="Noto Sans CJK SC"/>
        <family val="2"/>
      </rPr>
      <t xml:space="preserve">消防</t>
    </r>
    <r>
      <rPr>
        <b val="true"/>
        <sz val="11"/>
        <color rgb="FFFFFFFF"/>
        <rFont val="Arial"/>
        <family val="0"/>
        <charset val="1"/>
      </rPr>
      <t xml:space="preserve">_</t>
    </r>
    <r>
      <rPr>
        <b val="true"/>
        <sz val="11"/>
        <color rgb="FFFFFFFF"/>
        <rFont val="Noto Sans CJK SC"/>
        <family val="2"/>
      </rPr>
      <t xml:space="preserve">数値</t>
    </r>
  </si>
  <si>
    <r>
      <rPr>
        <b val="true"/>
        <sz val="11"/>
        <color rgb="FFFFFFFF"/>
        <rFont val="Noto Sans CJK SC"/>
        <family val="2"/>
      </rPr>
      <t xml:space="preserve">監視盤</t>
    </r>
    <r>
      <rPr>
        <b val="true"/>
        <sz val="11"/>
        <color rgb="FFFFFFFF"/>
        <rFont val="Arial"/>
        <family val="0"/>
        <charset val="1"/>
      </rPr>
      <t xml:space="preserve">_</t>
    </r>
    <r>
      <rPr>
        <b val="true"/>
        <sz val="11"/>
        <color rgb="FFFFFFFF"/>
        <rFont val="Noto Sans CJK SC"/>
        <family val="2"/>
      </rPr>
      <t xml:space="preserve">数値</t>
    </r>
  </si>
  <si>
    <t xml:space="preserve">いずれかで単独以上か</t>
  </si>
  <si>
    <r>
      <rPr>
        <sz val="11"/>
        <color theme="1"/>
        <rFont val="Noto Sans CJK SC"/>
        <family val="2"/>
      </rPr>
      <t xml:space="preserve">第二種電気工事士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危険物取扱者乙</t>
    </r>
    <r>
      <rPr>
        <sz val="11"/>
        <color theme="1"/>
        <rFont val="Calibri"/>
        <family val="2"/>
        <charset val="1"/>
      </rPr>
      <t xml:space="preserve">4, </t>
    </r>
    <r>
      <rPr>
        <sz val="11"/>
        <color theme="1"/>
        <rFont val="Noto Sans CJK SC"/>
        <family val="2"/>
      </rPr>
      <t xml:space="preserve">第一種冷凍機械責任者</t>
    </r>
  </si>
  <si>
    <t xml:space="preserve">教育担当</t>
  </si>
  <si>
    <t xml:space="preserve">単独</t>
  </si>
  <si>
    <r>
      <rPr>
        <sz val="11"/>
        <color theme="1"/>
        <rFont val="Noto Sans CJK SC"/>
        <family val="2"/>
      </rPr>
      <t xml:space="preserve">夜勤リーダー代行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資格更新管理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新人教育計画</t>
    </r>
  </si>
  <si>
    <r>
      <rPr>
        <sz val="11"/>
        <color theme="1"/>
        <rFont val="Noto Sans CJK SC"/>
        <family val="2"/>
      </rPr>
      <t xml:space="preserve">第二種電気工事士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危険物取扱者乙</t>
    </r>
    <r>
      <rPr>
        <sz val="11"/>
        <color theme="1"/>
        <rFont val="Calibri"/>
        <family val="2"/>
        <charset val="1"/>
      </rPr>
      <t xml:space="preserve">4</t>
    </r>
  </si>
  <si>
    <r>
      <rPr>
        <sz val="11"/>
        <color theme="1"/>
        <rFont val="Noto Sans CJK SC"/>
        <family val="2"/>
      </rPr>
      <t xml:space="preserve">夜勤リーダー代行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イベント対応統括</t>
    </r>
  </si>
  <si>
    <r>
      <rPr>
        <sz val="11"/>
        <color theme="1"/>
        <rFont val="Noto Sans CJK SC"/>
        <family val="2"/>
      </rPr>
      <t xml:space="preserve">危険物取扱者乙</t>
    </r>
    <r>
      <rPr>
        <sz val="11"/>
        <color theme="1"/>
        <rFont val="Calibri"/>
        <family val="2"/>
        <charset val="1"/>
      </rPr>
      <t xml:space="preserve">4, </t>
    </r>
    <r>
      <rPr>
        <sz val="11"/>
        <color theme="1"/>
        <rFont val="Noto Sans CJK SC"/>
        <family val="2"/>
      </rPr>
      <t xml:space="preserve">第三種冷凍機械責任者</t>
    </r>
  </si>
  <si>
    <r>
      <rPr>
        <sz val="11"/>
        <color theme="1"/>
        <rFont val="Noto Sans CJK SC"/>
        <family val="2"/>
      </rPr>
      <t xml:space="preserve">夜勤リーダー代行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教育担当補助の育成</t>
    </r>
  </si>
  <si>
    <r>
      <rPr>
        <sz val="11"/>
        <color theme="1"/>
        <rFont val="Noto Sans CJK SC"/>
        <family val="2"/>
      </rPr>
      <t xml:space="preserve">危険物取扱者乙</t>
    </r>
    <r>
      <rPr>
        <sz val="11"/>
        <color theme="1"/>
        <rFont val="Calibri"/>
        <family val="2"/>
        <charset val="1"/>
      </rPr>
      <t xml:space="preserve">4</t>
    </r>
  </si>
  <si>
    <t xml:space="preserve">補助</t>
  </si>
  <si>
    <t xml:space="preserve">夜勤単独対応</t>
  </si>
  <si>
    <t xml:space="preserve">空調設備対応</t>
  </si>
  <si>
    <t xml:space="preserve">監視盤対応</t>
  </si>
  <si>
    <t xml:space="preserve">見学</t>
  </si>
  <si>
    <r>
      <rPr>
        <sz val="11"/>
        <color theme="1"/>
        <rFont val="Noto Sans CJK SC"/>
        <family val="2"/>
      </rPr>
      <t xml:space="preserve">危険物取扱者乙</t>
    </r>
    <r>
      <rPr>
        <sz val="11"/>
        <color theme="1"/>
        <rFont val="Calibri"/>
        <family val="2"/>
        <charset val="1"/>
      </rPr>
      <t xml:space="preserve">4, </t>
    </r>
    <r>
      <rPr>
        <sz val="11"/>
        <color theme="1"/>
        <rFont val="Noto Sans CJK SC"/>
        <family val="2"/>
      </rPr>
      <t xml:space="preserve">第二種電気工事士</t>
    </r>
  </si>
  <si>
    <t xml:space="preserve">教育担当補助</t>
  </si>
  <si>
    <r>
      <rPr>
        <sz val="11"/>
        <color theme="1"/>
        <rFont val="Noto Sans CJK SC"/>
        <family val="2"/>
      </rPr>
      <t xml:space="preserve">夜勤リーダー代行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教育担当補助</t>
    </r>
  </si>
  <si>
    <t xml:space="preserve">夜勤リーダー代行</t>
  </si>
  <si>
    <t xml:space="preserve">消防設備対応</t>
  </si>
  <si>
    <t xml:space="preserve">段階名</t>
  </si>
  <si>
    <t xml:space="preserve">数値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</si>
</sst>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.0"/>
    <numFmt numFmtId="166" formatCode="General"/>
    <numFmt numFmtId="167" formatCode="m/d&quot;(土)&quot;"/>
    <numFmt numFmtId="168" formatCode="m/d&quot;(日)&quot;"/>
    <numFmt numFmtId="169" formatCode="m/d&quot;(月)&quot;"/>
    <numFmt numFmtId="170" formatCode="m/d&quot;(火)&quot;"/>
    <numFmt numFmtId="171" formatCode="m/d&quot;(水)&quot;"/>
    <numFmt numFmtId="172" formatCode="m/d&quot;(木)&quot;"/>
    <numFmt numFmtId="173" formatCode="m/d&quot;(金)&quot;"/>
    <numFmt numFmtId="174" formatCode="yyyy/mm/dd"/>
  </numFmts>
  <fonts count="3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Noto Sans CJK SC"/>
      <family val="2"/>
    </font>
    <font>
      <b val="true"/>
      <sz val="16"/>
      <name val="Arial"/>
      <family val="0"/>
      <charset val="1"/>
    </font>
    <font>
      <i val="true"/>
      <sz val="10"/>
      <name val="Noto Sans CJK SC"/>
      <family val="2"/>
    </font>
    <font>
      <b val="true"/>
      <sz val="11"/>
      <color rgb="FFFFFFFF"/>
      <name val="Arial"/>
      <family val="0"/>
      <charset val="1"/>
    </font>
    <font>
      <b val="true"/>
      <sz val="12"/>
      <name val="Noto Sans CJK SC"/>
      <family val="2"/>
    </font>
    <font>
      <b val="true"/>
      <sz val="9"/>
      <color rgb="FF5A6472"/>
      <name val="Noto Sans CJK SC"/>
      <family val="2"/>
    </font>
    <font>
      <sz val="11"/>
      <color theme="1"/>
      <name val="Noto Sans CJK SC"/>
      <family val="2"/>
    </font>
    <font>
      <b val="true"/>
      <sz val="10"/>
      <name val="Noto Sans CJK SC"/>
      <family val="2"/>
    </font>
    <font>
      <b val="true"/>
      <sz val="11"/>
      <color rgb="FFFFFFFF"/>
      <name val="Noto Sans CJK SC"/>
      <family val="2"/>
    </font>
    <font>
      <sz val="9"/>
      <name val="Arial"/>
      <family val="0"/>
      <charset val="1"/>
    </font>
    <font>
      <sz val="9"/>
      <name val="Noto Sans CJK SC"/>
      <family val="2"/>
    </font>
    <font>
      <sz val="9"/>
      <color rgb="FFB04A2E"/>
      <name val="Noto Sans CJK SC"/>
      <family val="2"/>
    </font>
    <font>
      <sz val="9"/>
      <color rgb="FFB04A2E"/>
      <name val="Arial"/>
      <family val="0"/>
      <charset val="1"/>
    </font>
    <font>
      <b val="true"/>
      <sz val="9"/>
      <color rgb="FF5A6472"/>
      <name val="Arial"/>
      <family val="0"/>
      <charset val="1"/>
    </font>
    <font>
      <b val="true"/>
      <sz val="11"/>
      <name val="Noto Sans CJK SC"/>
      <family val="2"/>
    </font>
    <font>
      <b val="true"/>
      <sz val="20"/>
      <name val="Arial"/>
      <family val="0"/>
      <charset val="1"/>
    </font>
    <font>
      <sz val="11"/>
      <name val="Noto Sans CJK SC"/>
      <family val="2"/>
    </font>
    <font>
      <b val="true"/>
      <sz val="13"/>
      <name val="Noto Sans CJK SC"/>
      <family val="2"/>
    </font>
    <font>
      <b val="true"/>
      <sz val="13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0"/>
      <name val="Arial"/>
      <family val="0"/>
      <charset val="1"/>
    </font>
    <font>
      <sz val="11"/>
      <name val="Arial"/>
      <family val="0"/>
      <charset val="1"/>
    </font>
    <font>
      <sz val="10"/>
      <name val="Noto Sans CJK SC"/>
      <family val="2"/>
    </font>
    <font>
      <b val="true"/>
      <sz val="11"/>
      <color rgb="FF2E7D46"/>
      <name val="Noto Sans CJK SC"/>
      <family val="2"/>
    </font>
    <font>
      <b val="true"/>
      <sz val="11"/>
      <color rgb="FFB04A2E"/>
      <name val="Noto Sans CJK SC"/>
      <family val="2"/>
    </font>
    <font>
      <i val="true"/>
      <sz val="9"/>
      <name val="Noto Sans CJK SC"/>
      <family val="2"/>
    </font>
    <font>
      <i val="true"/>
      <sz val="9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2F3B4C"/>
        <bgColor rgb="FF333300"/>
      </patternFill>
    </fill>
    <fill>
      <patternFill patternType="solid">
        <fgColor rgb="FFE4D6F7"/>
        <bgColor rgb="FFD6E4F0"/>
      </patternFill>
    </fill>
    <fill>
      <patternFill patternType="solid">
        <fgColor rgb="FFFDECC8"/>
        <bgColor rgb="FFE8E8E8"/>
      </patternFill>
    </fill>
    <fill>
      <patternFill patternType="solid">
        <fgColor rgb="FFD6E4F0"/>
        <bgColor rgb="FFE8E8E8"/>
      </patternFill>
    </fill>
    <fill>
      <patternFill patternType="solid">
        <fgColor rgb="FFE8E8E8"/>
        <bgColor rgb="FFD6E4F0"/>
      </patternFill>
    </fill>
    <fill>
      <patternFill patternType="solid">
        <fgColor rgb="FFD9F2E3"/>
        <bgColor rgb="FFE8E8E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ck">
        <color rgb="FFC0392B"/>
      </left>
      <right style="thick">
        <color rgb="FFC0392B"/>
      </right>
      <top style="thick">
        <color rgb="FFC0392B"/>
      </top>
      <bottom style="thick">
        <color rgb="FFC0392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B04A2E"/>
      <rgbColor rgb="FFFDECC8"/>
      <rgbColor rgb="FFD6E4F0"/>
      <rgbColor rgb="FF660066"/>
      <rgbColor rgb="FFFF8080"/>
      <rgbColor rgb="FF0066CC"/>
      <rgbColor rgb="FFE4D6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8E8"/>
      <rgbColor rgb="FFD9F2E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6472"/>
      <rgbColor rgb="FF969696"/>
      <rgbColor rgb="FF003366"/>
      <rgbColor rgb="FF2E7D46"/>
      <rgbColor rgb="FF003300"/>
      <rgbColor rgb="FF333300"/>
      <rgbColor rgb="FFC0392B"/>
      <rgbColor rgb="FF993366"/>
      <rgbColor rgb="FF333399"/>
      <rgbColor rgb="FF2F3B4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48"/>
    <col collapsed="false" customWidth="true" hidden="false" outlineLevel="0" max="4" min="4" style="0" width="44"/>
  </cols>
  <sheetData>
    <row r="1" customFormat="false" ht="23.85" hidden="false" customHeight="fals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</v>
      </c>
      <c r="B2" s="2"/>
      <c r="C2" s="2"/>
      <c r="D2" s="2"/>
    </row>
    <row r="4" customFormat="false" ht="27.75" hidden="false" customHeight="true" outlineLevel="0" collapsed="false">
      <c r="A4" s="3" t="s">
        <v>2</v>
      </c>
      <c r="B4" s="4" t="s">
        <v>3</v>
      </c>
      <c r="C4" s="4"/>
    </row>
    <row r="5" customFormat="false" ht="39.75" hidden="false" customHeight="true" outlineLevel="0" collapsed="false">
      <c r="B5" s="5" t="s">
        <v>4</v>
      </c>
      <c r="C5" s="6" t="s">
        <v>5</v>
      </c>
    </row>
    <row r="6" customFormat="false" ht="39.75" hidden="false" customHeight="true" outlineLevel="0" collapsed="false">
      <c r="B6" s="5" t="s">
        <v>6</v>
      </c>
      <c r="C6" s="7" t="s">
        <v>7</v>
      </c>
    </row>
    <row r="7" customFormat="false" ht="39.75" hidden="false" customHeight="true" outlineLevel="0" collapsed="false">
      <c r="B7" s="5" t="s">
        <v>8</v>
      </c>
      <c r="C7" s="7" t="s">
        <v>9</v>
      </c>
    </row>
    <row r="9" customFormat="false" ht="27.75" hidden="false" customHeight="true" outlineLevel="0" collapsed="false">
      <c r="A9" s="3" t="s">
        <v>10</v>
      </c>
      <c r="B9" s="4" t="s">
        <v>11</v>
      </c>
      <c r="C9" s="4"/>
    </row>
    <row r="10" customFormat="false" ht="55.5" hidden="false" customHeight="true" outlineLevel="0" collapsed="false">
      <c r="B10" s="5" t="s">
        <v>4</v>
      </c>
      <c r="C10" s="6" t="s">
        <v>12</v>
      </c>
    </row>
    <row r="11" customFormat="false" ht="15" hidden="false" customHeight="false" outlineLevel="0" collapsed="false">
      <c r="B11" s="8" t="s">
        <v>13</v>
      </c>
    </row>
    <row r="12" customFormat="false" ht="30" hidden="false" customHeight="true" outlineLevel="0" collapsed="false">
      <c r="B12" s="9" t="s">
        <v>14</v>
      </c>
      <c r="C12" s="9" t="s">
        <v>15</v>
      </c>
      <c r="D12" s="9" t="s">
        <v>16</v>
      </c>
    </row>
    <row r="13" customFormat="false" ht="54.75" hidden="false" customHeight="true" outlineLevel="0" collapsed="false">
      <c r="B13" s="10" t="s">
        <v>17</v>
      </c>
      <c r="C13" s="6" t="s">
        <v>18</v>
      </c>
      <c r="D13" s="11" t="s">
        <v>19</v>
      </c>
    </row>
    <row r="14" customFormat="false" ht="54.75" hidden="false" customHeight="true" outlineLevel="0" collapsed="false">
      <c r="B14" s="10" t="s">
        <v>20</v>
      </c>
      <c r="C14" s="6" t="s">
        <v>21</v>
      </c>
      <c r="D14" s="11" t="s">
        <v>22</v>
      </c>
    </row>
    <row r="15" customFormat="false" ht="54.75" hidden="false" customHeight="true" outlineLevel="0" collapsed="false">
      <c r="B15" s="10" t="s">
        <v>23</v>
      </c>
      <c r="C15" s="6" t="s">
        <v>24</v>
      </c>
      <c r="D15" s="11" t="s">
        <v>25</v>
      </c>
    </row>
    <row r="16" customFormat="false" ht="54.75" hidden="false" customHeight="true" outlineLevel="0" collapsed="false">
      <c r="B16" s="10" t="s">
        <v>26</v>
      </c>
      <c r="C16" s="6" t="s">
        <v>27</v>
      </c>
      <c r="D16" s="11" t="s">
        <v>28</v>
      </c>
    </row>
    <row r="17" customFormat="false" ht="54.75" hidden="false" customHeight="true" outlineLevel="0" collapsed="false">
      <c r="B17" s="10" t="s">
        <v>29</v>
      </c>
      <c r="C17" s="6" t="s">
        <v>30</v>
      </c>
      <c r="D17" s="11" t="s">
        <v>31</v>
      </c>
    </row>
    <row r="18" customFormat="false" ht="39.75" hidden="false" customHeight="true" outlineLevel="0" collapsed="false">
      <c r="B18" s="5" t="s">
        <v>8</v>
      </c>
      <c r="C18" s="6" t="s">
        <v>32</v>
      </c>
    </row>
    <row r="20" customFormat="false" ht="27.75" hidden="false" customHeight="true" outlineLevel="0" collapsed="false">
      <c r="A20" s="3" t="s">
        <v>33</v>
      </c>
      <c r="B20" s="4" t="s">
        <v>34</v>
      </c>
      <c r="C20" s="4"/>
    </row>
    <row r="21" customFormat="false" ht="39.75" hidden="false" customHeight="true" outlineLevel="0" collapsed="false">
      <c r="B21" s="5" t="s">
        <v>35</v>
      </c>
      <c r="C21" s="6" t="s">
        <v>36</v>
      </c>
    </row>
    <row r="22" customFormat="false" ht="39.75" hidden="false" customHeight="true" outlineLevel="0" collapsed="false">
      <c r="B22" s="5" t="s">
        <v>37</v>
      </c>
      <c r="C22" s="6" t="s">
        <v>38</v>
      </c>
    </row>
    <row r="23" customFormat="false" ht="39.75" hidden="false" customHeight="true" outlineLevel="0" collapsed="false">
      <c r="B23" s="5" t="s">
        <v>8</v>
      </c>
      <c r="C23" s="6" t="s">
        <v>39</v>
      </c>
    </row>
    <row r="25" customFormat="false" ht="27.75" hidden="false" customHeight="true" outlineLevel="0" collapsed="false">
      <c r="A25" s="3" t="s">
        <v>40</v>
      </c>
      <c r="B25" s="4" t="s">
        <v>41</v>
      </c>
      <c r="C25" s="4"/>
    </row>
    <row r="26" customFormat="false" ht="55.5" hidden="false" customHeight="true" outlineLevel="0" collapsed="false">
      <c r="B26" s="5" t="s">
        <v>4</v>
      </c>
      <c r="C26" s="6" t="s">
        <v>42</v>
      </c>
    </row>
    <row r="27" customFormat="false" ht="39.75" hidden="false" customHeight="true" outlineLevel="0" collapsed="false">
      <c r="B27" s="5" t="s">
        <v>43</v>
      </c>
      <c r="C27" s="6" t="s">
        <v>44</v>
      </c>
    </row>
    <row r="29" customFormat="false" ht="27.75" hidden="false" customHeight="true" outlineLevel="0" collapsed="false">
      <c r="A29" s="3" t="s">
        <v>45</v>
      </c>
      <c r="B29" s="4" t="s">
        <v>46</v>
      </c>
      <c r="C29" s="4"/>
    </row>
    <row r="30" customFormat="false" ht="39.75" hidden="false" customHeight="true" outlineLevel="0" collapsed="false">
      <c r="B30" s="5" t="s">
        <v>4</v>
      </c>
      <c r="C30" s="6" t="s">
        <v>47</v>
      </c>
    </row>
    <row r="31" customFormat="false" ht="39.75" hidden="false" customHeight="true" outlineLevel="0" collapsed="false">
      <c r="B31" s="5" t="s">
        <v>48</v>
      </c>
      <c r="C31" s="6" t="s">
        <v>49</v>
      </c>
    </row>
    <row r="32" customFormat="false" ht="72" hidden="false" customHeight="true" outlineLevel="0" collapsed="false">
      <c r="B32" s="5" t="s">
        <v>50</v>
      </c>
      <c r="C32" s="12" t="s">
        <v>51</v>
      </c>
    </row>
    <row r="34" customFormat="false" ht="27.75" hidden="false" customHeight="true" outlineLevel="0" collapsed="false">
      <c r="A34" s="3" t="s">
        <v>52</v>
      </c>
      <c r="B34" s="4" t="s">
        <v>53</v>
      </c>
      <c r="C34" s="4"/>
    </row>
    <row r="35" customFormat="false" ht="24" hidden="false" customHeight="true" outlineLevel="0" collapsed="false">
      <c r="B35" s="5" t="s">
        <v>54</v>
      </c>
      <c r="C35" s="6" t="s">
        <v>55</v>
      </c>
    </row>
    <row r="36" customFormat="false" ht="55.5" hidden="false" customHeight="true" outlineLevel="0" collapsed="false">
      <c r="B36" s="5" t="s">
        <v>56</v>
      </c>
      <c r="C36" s="7" t="s">
        <v>57</v>
      </c>
    </row>
    <row r="38" customFormat="false" ht="27.75" hidden="false" customHeight="true" outlineLevel="0" collapsed="false">
      <c r="A38" s="3" t="s">
        <v>58</v>
      </c>
      <c r="B38" s="4" t="s">
        <v>59</v>
      </c>
      <c r="C38" s="4"/>
    </row>
    <row r="39" customFormat="false" ht="55.5" hidden="false" customHeight="true" outlineLevel="0" collapsed="false">
      <c r="B39" s="5" t="s">
        <v>60</v>
      </c>
      <c r="C39" s="7" t="s">
        <v>61</v>
      </c>
    </row>
    <row r="40" customFormat="false" ht="39.75" hidden="false" customHeight="true" outlineLevel="0" collapsed="false">
      <c r="B40" s="5" t="s">
        <v>62</v>
      </c>
      <c r="C40" s="6" t="s">
        <v>63</v>
      </c>
    </row>
    <row r="41" customFormat="false" ht="55.5" hidden="false" customHeight="true" outlineLevel="0" collapsed="false">
      <c r="B41" s="5" t="s">
        <v>64</v>
      </c>
      <c r="C41" s="6" t="s">
        <v>65</v>
      </c>
    </row>
    <row r="42" customFormat="false" ht="39.75" hidden="false" customHeight="true" outlineLevel="0" collapsed="false">
      <c r="B42" s="5" t="s">
        <v>66</v>
      </c>
      <c r="C42" s="6" t="s">
        <v>67</v>
      </c>
    </row>
    <row r="43" customFormat="false" ht="39.75" hidden="false" customHeight="true" outlineLevel="0" collapsed="false">
      <c r="B43" s="5" t="s">
        <v>68</v>
      </c>
      <c r="C43" s="6" t="s">
        <v>69</v>
      </c>
    </row>
    <row r="44" customFormat="false" ht="87.75" hidden="false" customHeight="true" outlineLevel="0" collapsed="false">
      <c r="B44" s="5" t="s">
        <v>70</v>
      </c>
      <c r="C44" s="12" t="s">
        <v>71</v>
      </c>
    </row>
  </sheetData>
  <mergeCells count="9">
    <mergeCell ref="A1:D1"/>
    <mergeCell ref="A2:D2"/>
    <mergeCell ref="B4:C4"/>
    <mergeCell ref="B9:C9"/>
    <mergeCell ref="B20:C20"/>
    <mergeCell ref="B25:C25"/>
    <mergeCell ref="B29:C29"/>
    <mergeCell ref="B34:C34"/>
    <mergeCell ref="B38:C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46"/>
    <col collapsed="false" customWidth="true" hidden="false" outlineLevel="0" max="4" min="3" style="0" width="16"/>
  </cols>
  <sheetData>
    <row r="1" customFormat="false" ht="23.85" hidden="false" customHeight="false" outlineLevel="0" collapsed="false">
      <c r="A1" s="1" t="s">
        <v>72</v>
      </c>
      <c r="B1" s="1"/>
      <c r="C1" s="1"/>
      <c r="D1" s="1"/>
    </row>
    <row r="3" customFormat="false" ht="24.45" hidden="false" customHeight="false" outlineLevel="0" collapsed="false">
      <c r="A3" s="13" t="s">
        <v>73</v>
      </c>
      <c r="C3" s="14" t="n">
        <f aca="false">B13</f>
        <v>71.5833333333333</v>
      </c>
    </row>
    <row r="4" customFormat="false" ht="17.15" hidden="false" customHeight="false" outlineLevel="0" collapsed="false">
      <c r="A4" s="13" t="s">
        <v>74</v>
      </c>
      <c r="C4" s="0" t="str">
        <f aca="false">IF(C3&gt;=80,"安全:突発休暇があっても対応可能",IF(C3&gt;=60,"要注意:イベント重複時は厳しい可能性","要対応:バックアップ確保が必要"))</f>
        <v>要注意:イベント重複時は厳しい可能性</v>
      </c>
    </row>
    <row r="6" customFormat="false" ht="15" hidden="false" customHeight="false" outlineLevel="0" collapsed="false">
      <c r="A6" s="15" t="s">
        <v>14</v>
      </c>
      <c r="B6" s="15" t="s">
        <v>75</v>
      </c>
    </row>
    <row r="7" customFormat="false" ht="15" hidden="false" customHeight="false" outlineLevel="0" collapsed="false">
      <c r="A7" s="16" t="s">
        <v>76</v>
      </c>
      <c r="B7" s="17" t="n">
        <f aca="false">B39</f>
        <v>41.25</v>
      </c>
    </row>
    <row r="8" customFormat="false" ht="15" hidden="false" customHeight="false" outlineLevel="0" collapsed="false">
      <c r="A8" s="16" t="s">
        <v>77</v>
      </c>
      <c r="B8" s="17" t="n">
        <f aca="false">C21</f>
        <v>100</v>
      </c>
    </row>
    <row r="9" customFormat="false" ht="15" hidden="false" customHeight="false" outlineLevel="0" collapsed="false">
      <c r="A9" s="16" t="s">
        <v>78</v>
      </c>
      <c r="B9" s="17" t="n">
        <f aca="false">D37</f>
        <v>50</v>
      </c>
    </row>
    <row r="10" customFormat="false" ht="15" hidden="false" customHeight="false" outlineLevel="0" collapsed="false">
      <c r="A10" s="16" t="s">
        <v>79</v>
      </c>
      <c r="B10" s="17" t="n">
        <f aca="false">B40</f>
        <v>66.6666666666667</v>
      </c>
    </row>
    <row r="11" customFormat="false" ht="15" hidden="false" customHeight="false" outlineLevel="0" collapsed="false">
      <c r="A11" s="16" t="s">
        <v>80</v>
      </c>
      <c r="B11" s="17" t="n">
        <f aca="false">D30</f>
        <v>100</v>
      </c>
    </row>
    <row r="13" customFormat="false" ht="16.15" hidden="false" customHeight="false" outlineLevel="0" collapsed="false">
      <c r="A13" s="18" t="s">
        <v>73</v>
      </c>
      <c r="B13" s="19" t="n">
        <f aca="false">AVERAGE(B7,B8,B9,B10,B11)</f>
        <v>71.5833333333333</v>
      </c>
    </row>
    <row r="15" customFormat="false" ht="17.15" hidden="false" customHeight="false" outlineLevel="0" collapsed="false">
      <c r="A15" s="13" t="s">
        <v>81</v>
      </c>
    </row>
    <row r="16" customFormat="false" ht="15" hidden="false" customHeight="false" outlineLevel="0" collapsed="false">
      <c r="A16" s="15" t="s">
        <v>82</v>
      </c>
      <c r="B16" s="15" t="s">
        <v>83</v>
      </c>
      <c r="C16" s="15" t="s">
        <v>75</v>
      </c>
    </row>
    <row r="17" customFormat="false" ht="15" hidden="false" customHeight="false" outlineLevel="0" collapsed="false">
      <c r="A17" s="20" t="s">
        <v>84</v>
      </c>
      <c r="B17" s="0" t="n">
        <f aca="false">COUNTIF(メンバーデータ!K2:K16,"&gt;=2")</f>
        <v>7</v>
      </c>
      <c r="C17" s="17" t="n">
        <f aca="false">MIN(B17,3)/3*100</f>
        <v>100</v>
      </c>
    </row>
    <row r="18" customFormat="false" ht="15" hidden="false" customHeight="false" outlineLevel="0" collapsed="false">
      <c r="A18" s="20" t="s">
        <v>85</v>
      </c>
      <c r="B18" s="0" t="n">
        <f aca="false">COUNTIF(メンバーデータ!L2:L16,"&gt;=2")</f>
        <v>9</v>
      </c>
      <c r="C18" s="17" t="n">
        <f aca="false">MIN(B18,3)/3*100</f>
        <v>100</v>
      </c>
    </row>
    <row r="19" customFormat="false" ht="15" hidden="false" customHeight="false" outlineLevel="0" collapsed="false">
      <c r="A19" s="20" t="s">
        <v>86</v>
      </c>
      <c r="B19" s="0" t="n">
        <f aca="false">COUNTIF(メンバーデータ!M2:M16,"&gt;=2")</f>
        <v>8</v>
      </c>
      <c r="C19" s="17" t="n">
        <f aca="false">MIN(B19,3)/3*100</f>
        <v>100</v>
      </c>
    </row>
    <row r="20" customFormat="false" ht="15" hidden="false" customHeight="false" outlineLevel="0" collapsed="false">
      <c r="A20" s="20" t="s">
        <v>87</v>
      </c>
      <c r="B20" s="0" t="n">
        <f aca="false">COUNTIF(メンバーデータ!N2:N16,"&gt;=2")</f>
        <v>9</v>
      </c>
      <c r="C20" s="17" t="n">
        <f aca="false">MIN(B20,3)/3*100</f>
        <v>100</v>
      </c>
    </row>
    <row r="21" customFormat="false" ht="17.15" hidden="false" customHeight="false" outlineLevel="0" collapsed="false">
      <c r="A21" s="13" t="s">
        <v>88</v>
      </c>
      <c r="C21" s="17" t="n">
        <f aca="false">AVERAGE(C17,C18,C19,C20)</f>
        <v>100</v>
      </c>
    </row>
    <row r="23" customFormat="false" ht="17.15" hidden="false" customHeight="false" outlineLevel="0" collapsed="false">
      <c r="A23" s="13" t="s">
        <v>89</v>
      </c>
    </row>
    <row r="24" customFormat="false" ht="15" hidden="false" customHeight="false" outlineLevel="0" collapsed="false">
      <c r="A24" s="15" t="s">
        <v>90</v>
      </c>
      <c r="B24" s="15" t="s">
        <v>91</v>
      </c>
      <c r="C24" s="15" t="s">
        <v>92</v>
      </c>
      <c r="D24" s="15" t="s">
        <v>75</v>
      </c>
    </row>
    <row r="25" customFormat="false" ht="15" hidden="false" customHeight="false" outlineLevel="0" collapsed="false">
      <c r="A25" s="0" t="s">
        <v>93</v>
      </c>
      <c r="B25" s="0" t="n">
        <f aca="false">SUMIFS(メンバーデータ!$O:$O,メンバーデータ!$B:$B,"A")</f>
        <v>3</v>
      </c>
      <c r="C25" s="0" t="n">
        <f aca="false">COUNTIF(メンバーデータ!$B:$B,"A")</f>
        <v>3</v>
      </c>
      <c r="D25" s="17" t="n">
        <f aca="false">MIN(B25,2)/2*100</f>
        <v>100</v>
      </c>
    </row>
    <row r="26" customFormat="false" ht="15" hidden="false" customHeight="false" outlineLevel="0" collapsed="false">
      <c r="A26" s="0" t="s">
        <v>94</v>
      </c>
      <c r="B26" s="0" t="n">
        <f aca="false">SUMIFS(メンバーデータ!$O:$O,メンバーデータ!$B:$B,"B")</f>
        <v>2</v>
      </c>
      <c r="C26" s="0" t="n">
        <f aca="false">COUNTIF(メンバーデータ!$B:$B,"B")</f>
        <v>3</v>
      </c>
      <c r="D26" s="17" t="n">
        <f aca="false">MIN(B26,2)/2*100</f>
        <v>100</v>
      </c>
    </row>
    <row r="27" customFormat="false" ht="15" hidden="false" customHeight="false" outlineLevel="0" collapsed="false">
      <c r="A27" s="0" t="s">
        <v>95</v>
      </c>
      <c r="B27" s="0" t="n">
        <f aca="false">SUMIFS(メンバーデータ!$O:$O,メンバーデータ!$B:$B,"C")</f>
        <v>2</v>
      </c>
      <c r="C27" s="0" t="n">
        <f aca="false">COUNTIF(メンバーデータ!$B:$B,"C")</f>
        <v>3</v>
      </c>
      <c r="D27" s="17" t="n">
        <f aca="false">MIN(B27,2)/2*100</f>
        <v>100</v>
      </c>
    </row>
    <row r="28" customFormat="false" ht="15" hidden="false" customHeight="false" outlineLevel="0" collapsed="false">
      <c r="A28" s="0" t="s">
        <v>96</v>
      </c>
      <c r="B28" s="0" t="n">
        <f aca="false">SUMIFS(メンバーデータ!$O:$O,メンバーデータ!$B:$B,"D")</f>
        <v>2</v>
      </c>
      <c r="C28" s="0" t="n">
        <f aca="false">COUNTIF(メンバーデータ!$B:$B,"D")</f>
        <v>3</v>
      </c>
      <c r="D28" s="17" t="n">
        <f aca="false">MIN(B28,2)/2*100</f>
        <v>100</v>
      </c>
    </row>
    <row r="29" customFormat="false" ht="15" hidden="false" customHeight="false" outlineLevel="0" collapsed="false">
      <c r="A29" s="0" t="s">
        <v>97</v>
      </c>
      <c r="B29" s="0" t="n">
        <f aca="false">SUMIFS(メンバーデータ!$O:$O,メンバーデータ!$B:$B,"E")</f>
        <v>2</v>
      </c>
      <c r="C29" s="0" t="n">
        <f aca="false">COUNTIF(メンバーデータ!$B:$B,"E")</f>
        <v>3</v>
      </c>
      <c r="D29" s="17" t="n">
        <f aca="false">MIN(B29,2)/2*100</f>
        <v>100</v>
      </c>
    </row>
    <row r="30" customFormat="false" ht="17.15" hidden="false" customHeight="false" outlineLevel="0" collapsed="false">
      <c r="A30" s="13" t="s">
        <v>98</v>
      </c>
      <c r="D30" s="17" t="n">
        <f aca="false">AVERAGE(D25,D26,D27,D28,D29)</f>
        <v>100</v>
      </c>
    </row>
    <row r="32" customFormat="false" ht="17.15" hidden="false" customHeight="false" outlineLevel="0" collapsed="false">
      <c r="A32" s="13" t="s">
        <v>99</v>
      </c>
    </row>
    <row r="33" customFormat="false" ht="15" hidden="false" customHeight="false" outlineLevel="0" collapsed="false">
      <c r="A33" s="15" t="s">
        <v>82</v>
      </c>
      <c r="B33" s="15" t="s">
        <v>100</v>
      </c>
      <c r="C33" s="15" t="s">
        <v>101</v>
      </c>
    </row>
    <row r="34" customFormat="false" ht="15" hidden="false" customHeight="false" outlineLevel="0" collapsed="false">
      <c r="A34" s="20" t="s">
        <v>84</v>
      </c>
      <c r="B34" s="0" t="n">
        <f aca="false">COUNTIF(メンバーデータ!K2:K16,"&gt;=2")</f>
        <v>7</v>
      </c>
      <c r="C34" s="0" t="n">
        <f aca="false">SUMPRODUCT((メンバーデータ!K$2:K$16&gt;=2)*((ISNUMBER(SEARCH("第二種電気工事士",メンバーデータ!$E$2:$E$16)))&gt;0))</f>
        <v>3</v>
      </c>
    </row>
    <row r="35" customFormat="false" ht="15" hidden="false" customHeight="false" outlineLevel="0" collapsed="false">
      <c r="A35" s="20" t="s">
        <v>85</v>
      </c>
      <c r="B35" s="0" t="n">
        <f aca="false">COUNTIF(メンバーデータ!L2:L16,"&gt;=2")</f>
        <v>9</v>
      </c>
      <c r="C35" s="0" t="n">
        <f aca="false">SUMPRODUCT((メンバーデータ!L$2:L$16&gt;=2)*((ISNUMBER(SEARCH("第一種冷凍機械責任者",メンバーデータ!$E$2:$E$16))+ISNUMBER(SEARCH("第三種冷凍機械責任者",メンバーデータ!$E$2:$E$16)))&gt;0))</f>
        <v>2</v>
      </c>
    </row>
    <row r="36" customFormat="false" ht="15" hidden="false" customHeight="false" outlineLevel="0" collapsed="false">
      <c r="A36" s="20" t="s">
        <v>86</v>
      </c>
      <c r="B36" s="0" t="n">
        <f aca="false">COUNTIF(メンバーデータ!M2:M16,"&gt;=2")</f>
        <v>8</v>
      </c>
      <c r="C36" s="0" t="n">
        <f aca="false">SUMPRODUCT((メンバーデータ!M$2:M$16&gt;=2)*((ISNUMBER(SEARCH("危険物取扱者乙4",メンバーデータ!$E$2:$E$16)))&gt;0))</f>
        <v>7</v>
      </c>
    </row>
    <row r="37" customFormat="false" ht="17.15" hidden="false" customHeight="false" outlineLevel="0" collapsed="false">
      <c r="A37" s="13" t="s">
        <v>102</v>
      </c>
      <c r="B37" s="21" t="n">
        <f aca="false">SUM(B34,B35,B36)</f>
        <v>24</v>
      </c>
      <c r="C37" s="21" t="n">
        <f aca="false">SUM(C34,C35,C36)</f>
        <v>12</v>
      </c>
      <c r="D37" s="17" t="n">
        <f aca="false">C37/B37*100</f>
        <v>50</v>
      </c>
    </row>
    <row r="39" customFormat="false" ht="15" hidden="false" customHeight="false" outlineLevel="0" collapsed="false">
      <c r="A39" s="13" t="s">
        <v>76</v>
      </c>
      <c r="B39" s="17" t="n">
        <f aca="false">AVERAGE(メンバーデータ!K2:N16)/4*100</f>
        <v>41.25</v>
      </c>
    </row>
    <row r="40" customFormat="false" ht="15" hidden="false" customHeight="false" outlineLevel="0" collapsed="false">
      <c r="A40" s="13" t="s">
        <v>79</v>
      </c>
      <c r="B40" s="17" t="n">
        <f aca="false">COUNTIF(メンバーデータ!J2:J16,"?*")/COUNTA(メンバーデータ!A2:A16)*100</f>
        <v>66.6666666666667</v>
      </c>
    </row>
    <row r="42" customFormat="false" ht="17.15" hidden="false" customHeight="false" outlineLevel="0" collapsed="false">
      <c r="A42" s="13" t="s">
        <v>103</v>
      </c>
    </row>
    <row r="43" customFormat="false" ht="17.15" hidden="false" customHeight="false" outlineLevel="0" collapsed="false">
      <c r="A43" s="15" t="s">
        <v>90</v>
      </c>
      <c r="B43" s="15" t="s">
        <v>104</v>
      </c>
    </row>
    <row r="44" customFormat="false" ht="15" hidden="false" customHeight="false" outlineLevel="0" collapsed="false">
      <c r="A44" s="0" t="s">
        <v>93</v>
      </c>
      <c r="B44" s="0" t="n">
        <f aca="false">AVERAGEIF('シフト表(2026年8月)'!$B$2:$B$16,"A",'シフト表(2026年8月)'!$AI$2:$AI$16)</f>
        <v>7</v>
      </c>
    </row>
    <row r="45" customFormat="false" ht="15" hidden="false" customHeight="false" outlineLevel="0" collapsed="false">
      <c r="A45" s="0" t="s">
        <v>94</v>
      </c>
      <c r="B45" s="0" t="n">
        <f aca="false">AVERAGEIF('シフト表(2026年8月)'!$B$2:$B$16,"B",'シフト表(2026年8月)'!$AI$2:$AI$16)</f>
        <v>6</v>
      </c>
    </row>
    <row r="46" customFormat="false" ht="15" hidden="false" customHeight="false" outlineLevel="0" collapsed="false">
      <c r="A46" s="0" t="s">
        <v>95</v>
      </c>
      <c r="B46" s="0" t="n">
        <f aca="false">AVERAGEIF('シフト表(2026年8月)'!$B$2:$B$16,"C",'シフト表(2026年8月)'!$AI$2:$AI$16)</f>
        <v>6</v>
      </c>
    </row>
    <row r="47" customFormat="false" ht="15" hidden="false" customHeight="false" outlineLevel="0" collapsed="false">
      <c r="A47" s="0" t="s">
        <v>96</v>
      </c>
      <c r="B47" s="0" t="n">
        <f aca="false">AVERAGEIF('シフト表(2026年8月)'!$B$2:$B$16,"D",'シフト表(2026年8月)'!$AI$2:$AI$16)</f>
        <v>6</v>
      </c>
    </row>
    <row r="48" customFormat="false" ht="15" hidden="false" customHeight="false" outlineLevel="0" collapsed="false">
      <c r="A48" s="0" t="s">
        <v>97</v>
      </c>
      <c r="B48" s="0" t="n">
        <f aca="false">AVERAGEIF('シフト表(2026年8月)'!$B$2:$B$16,"E",'シフト表(2026年8月)'!$AI$2:$AI$16)</f>
        <v>6</v>
      </c>
    </row>
    <row r="51" customFormat="false" ht="15" hidden="false" customHeight="false" outlineLevel="0" collapsed="false">
      <c r="A51" s="13" t="s">
        <v>105</v>
      </c>
    </row>
    <row r="52" customFormat="false" ht="15" hidden="false" customHeight="false" outlineLevel="0" collapsed="false">
      <c r="A52" s="15" t="s">
        <v>106</v>
      </c>
      <c r="B52" s="15" t="s">
        <v>107</v>
      </c>
    </row>
    <row r="53" customFormat="false" ht="17.15" hidden="false" customHeight="false" outlineLevel="0" collapsed="false">
      <c r="A53" s="0" t="s">
        <v>108</v>
      </c>
      <c r="B53" s="20" t="s">
        <v>109</v>
      </c>
    </row>
    <row r="54" customFormat="false" ht="17.15" hidden="false" customHeight="false" outlineLevel="0" collapsed="false">
      <c r="A54" s="0" t="s">
        <v>110</v>
      </c>
      <c r="B54" s="20" t="s">
        <v>111</v>
      </c>
    </row>
    <row r="55" customFormat="false" ht="17.15" hidden="false" customHeight="false" outlineLevel="0" collapsed="false">
      <c r="A55" s="0" t="s">
        <v>112</v>
      </c>
      <c r="B55" s="20" t="s">
        <v>113</v>
      </c>
    </row>
    <row r="58" customFormat="false" ht="60" hidden="false" customHeight="true" outlineLevel="0" collapsed="false">
      <c r="A58" s="22" t="s">
        <v>114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4" min="4" style="0" width="6"/>
    <col collapsed="false" customWidth="true" hidden="false" outlineLevel="0" max="35" min="35" style="0" width="14"/>
  </cols>
  <sheetData>
    <row r="1" customFormat="false" ht="17.15" hidden="false" customHeight="false" outlineLevel="0" collapsed="false">
      <c r="A1" s="15" t="s">
        <v>115</v>
      </c>
      <c r="B1" s="15" t="s">
        <v>90</v>
      </c>
      <c r="C1" s="15" t="s">
        <v>116</v>
      </c>
      <c r="D1" s="23" t="n">
        <v>46235</v>
      </c>
      <c r="E1" s="24" t="n">
        <v>46236</v>
      </c>
      <c r="F1" s="25" t="n">
        <v>46237</v>
      </c>
      <c r="G1" s="26" t="n">
        <v>46238</v>
      </c>
      <c r="H1" s="27" t="n">
        <v>46239</v>
      </c>
      <c r="I1" s="28" t="n">
        <v>46240</v>
      </c>
      <c r="J1" s="29" t="n">
        <v>46241</v>
      </c>
      <c r="K1" s="23" t="n">
        <v>46242</v>
      </c>
      <c r="L1" s="24" t="n">
        <v>46243</v>
      </c>
      <c r="M1" s="25" t="n">
        <v>46244</v>
      </c>
      <c r="N1" s="26" t="n">
        <v>46245</v>
      </c>
      <c r="O1" s="27" t="n">
        <v>46246</v>
      </c>
      <c r="P1" s="28" t="n">
        <v>46247</v>
      </c>
      <c r="Q1" s="29" t="n">
        <v>46248</v>
      </c>
      <c r="R1" s="23" t="n">
        <v>46249</v>
      </c>
      <c r="S1" s="24" t="n">
        <v>46250</v>
      </c>
      <c r="T1" s="25" t="n">
        <v>46251</v>
      </c>
      <c r="U1" s="26" t="n">
        <v>46252</v>
      </c>
      <c r="V1" s="27" t="n">
        <v>46253</v>
      </c>
      <c r="W1" s="28" t="n">
        <v>46254</v>
      </c>
      <c r="X1" s="29" t="n">
        <v>46255</v>
      </c>
      <c r="Y1" s="23" t="n">
        <v>46256</v>
      </c>
      <c r="Z1" s="24" t="n">
        <v>46257</v>
      </c>
      <c r="AA1" s="25" t="n">
        <v>46258</v>
      </c>
      <c r="AB1" s="26" t="n">
        <v>46259</v>
      </c>
      <c r="AC1" s="27" t="n">
        <v>46260</v>
      </c>
      <c r="AD1" s="28" t="n">
        <v>46261</v>
      </c>
      <c r="AE1" s="29" t="n">
        <v>46262</v>
      </c>
      <c r="AF1" s="23" t="n">
        <v>46263</v>
      </c>
      <c r="AG1" s="24" t="n">
        <v>46264</v>
      </c>
      <c r="AH1" s="25" t="n">
        <v>46265</v>
      </c>
      <c r="AI1" s="15" t="s">
        <v>104</v>
      </c>
    </row>
    <row r="2" customFormat="false" ht="17.15" hidden="false" customHeight="false" outlineLevel="0" collapsed="false">
      <c r="A2" s="20" t="s">
        <v>117</v>
      </c>
      <c r="B2" s="0" t="s">
        <v>93</v>
      </c>
      <c r="C2" s="20" t="s">
        <v>118</v>
      </c>
      <c r="D2" s="30" t="s">
        <v>119</v>
      </c>
      <c r="E2" s="31" t="s">
        <v>120</v>
      </c>
      <c r="F2" s="32" t="s">
        <v>121</v>
      </c>
      <c r="G2" s="33" t="s">
        <v>122</v>
      </c>
      <c r="H2" s="34" t="s">
        <v>123</v>
      </c>
      <c r="I2" s="30" t="s">
        <v>119</v>
      </c>
      <c r="J2" s="31" t="s">
        <v>120</v>
      </c>
      <c r="K2" s="32" t="s">
        <v>121</v>
      </c>
      <c r="L2" s="33" t="s">
        <v>122</v>
      </c>
      <c r="M2" s="34" t="s">
        <v>123</v>
      </c>
      <c r="N2" s="30" t="s">
        <v>119</v>
      </c>
      <c r="O2" s="31" t="s">
        <v>120</v>
      </c>
      <c r="P2" s="32" t="s">
        <v>121</v>
      </c>
      <c r="Q2" s="33" t="s">
        <v>122</v>
      </c>
      <c r="R2" s="34" t="s">
        <v>123</v>
      </c>
      <c r="S2" s="30" t="s">
        <v>119</v>
      </c>
      <c r="T2" s="31" t="s">
        <v>120</v>
      </c>
      <c r="U2" s="32" t="s">
        <v>121</v>
      </c>
      <c r="V2" s="33" t="s">
        <v>122</v>
      </c>
      <c r="W2" s="34" t="s">
        <v>123</v>
      </c>
      <c r="X2" s="30" t="s">
        <v>119</v>
      </c>
      <c r="Y2" s="31" t="s">
        <v>120</v>
      </c>
      <c r="Z2" s="32" t="s">
        <v>121</v>
      </c>
      <c r="AA2" s="33" t="s">
        <v>122</v>
      </c>
      <c r="AB2" s="34" t="s">
        <v>123</v>
      </c>
      <c r="AC2" s="30" t="s">
        <v>119</v>
      </c>
      <c r="AD2" s="31" t="s">
        <v>120</v>
      </c>
      <c r="AE2" s="32" t="s">
        <v>121</v>
      </c>
      <c r="AF2" s="33" t="s">
        <v>122</v>
      </c>
      <c r="AG2" s="34" t="s">
        <v>123</v>
      </c>
      <c r="AH2" s="30" t="s">
        <v>119</v>
      </c>
      <c r="AI2" s="21" t="n">
        <f aca="false">COUNTIF(D2:AH2,"早A")</f>
        <v>7</v>
      </c>
    </row>
    <row r="3" customFormat="false" ht="17.15" hidden="false" customHeight="false" outlineLevel="0" collapsed="false">
      <c r="A3" s="20" t="s">
        <v>124</v>
      </c>
      <c r="B3" s="0" t="s">
        <v>94</v>
      </c>
      <c r="C3" s="20" t="s">
        <v>118</v>
      </c>
      <c r="D3" s="31" t="s">
        <v>120</v>
      </c>
      <c r="E3" s="32" t="s">
        <v>121</v>
      </c>
      <c r="F3" s="33" t="s">
        <v>122</v>
      </c>
      <c r="G3" s="34" t="s">
        <v>123</v>
      </c>
      <c r="H3" s="30" t="s">
        <v>119</v>
      </c>
      <c r="I3" s="31" t="s">
        <v>120</v>
      </c>
      <c r="J3" s="32" t="s">
        <v>121</v>
      </c>
      <c r="K3" s="33" t="s">
        <v>122</v>
      </c>
      <c r="L3" s="34" t="s">
        <v>123</v>
      </c>
      <c r="M3" s="30" t="s">
        <v>119</v>
      </c>
      <c r="N3" s="31" t="s">
        <v>120</v>
      </c>
      <c r="O3" s="32" t="s">
        <v>121</v>
      </c>
      <c r="P3" s="33" t="s">
        <v>122</v>
      </c>
      <c r="Q3" s="34" t="s">
        <v>123</v>
      </c>
      <c r="R3" s="30" t="s">
        <v>119</v>
      </c>
      <c r="S3" s="31" t="s">
        <v>120</v>
      </c>
      <c r="T3" s="32" t="s">
        <v>121</v>
      </c>
      <c r="U3" s="33" t="s">
        <v>122</v>
      </c>
      <c r="V3" s="34" t="s">
        <v>123</v>
      </c>
      <c r="W3" s="30" t="s">
        <v>119</v>
      </c>
      <c r="X3" s="31" t="s">
        <v>120</v>
      </c>
      <c r="Y3" s="32" t="s">
        <v>121</v>
      </c>
      <c r="Z3" s="33" t="s">
        <v>122</v>
      </c>
      <c r="AA3" s="34" t="s">
        <v>123</v>
      </c>
      <c r="AB3" s="30" t="s">
        <v>119</v>
      </c>
      <c r="AC3" s="31" t="s">
        <v>120</v>
      </c>
      <c r="AD3" s="32" t="s">
        <v>121</v>
      </c>
      <c r="AE3" s="33" t="s">
        <v>122</v>
      </c>
      <c r="AF3" s="34" t="s">
        <v>123</v>
      </c>
      <c r="AG3" s="30" t="s">
        <v>119</v>
      </c>
      <c r="AH3" s="31" t="s">
        <v>120</v>
      </c>
      <c r="AI3" s="21" t="n">
        <f aca="false">COUNTIF(D3:AH3,"早A")</f>
        <v>6</v>
      </c>
    </row>
    <row r="4" customFormat="false" ht="17.15" hidden="false" customHeight="false" outlineLevel="0" collapsed="false">
      <c r="A4" s="20" t="s">
        <v>125</v>
      </c>
      <c r="B4" s="0" t="s">
        <v>95</v>
      </c>
      <c r="C4" s="20" t="s">
        <v>118</v>
      </c>
      <c r="D4" s="32" t="s">
        <v>121</v>
      </c>
      <c r="E4" s="33" t="s">
        <v>122</v>
      </c>
      <c r="F4" s="34" t="s">
        <v>123</v>
      </c>
      <c r="G4" s="30" t="s">
        <v>119</v>
      </c>
      <c r="H4" s="31" t="s">
        <v>120</v>
      </c>
      <c r="I4" s="32" t="s">
        <v>121</v>
      </c>
      <c r="J4" s="33" t="s">
        <v>122</v>
      </c>
      <c r="K4" s="34" t="s">
        <v>123</v>
      </c>
      <c r="L4" s="30" t="s">
        <v>119</v>
      </c>
      <c r="M4" s="31" t="s">
        <v>120</v>
      </c>
      <c r="N4" s="32" t="s">
        <v>121</v>
      </c>
      <c r="O4" s="33" t="s">
        <v>122</v>
      </c>
      <c r="P4" s="34" t="s">
        <v>123</v>
      </c>
      <c r="Q4" s="30" t="s">
        <v>119</v>
      </c>
      <c r="R4" s="31" t="s">
        <v>120</v>
      </c>
      <c r="S4" s="32" t="s">
        <v>121</v>
      </c>
      <c r="T4" s="33" t="s">
        <v>122</v>
      </c>
      <c r="U4" s="34" t="s">
        <v>123</v>
      </c>
      <c r="V4" s="30" t="s">
        <v>119</v>
      </c>
      <c r="W4" s="31" t="s">
        <v>120</v>
      </c>
      <c r="X4" s="32" t="s">
        <v>121</v>
      </c>
      <c r="Y4" s="33" t="s">
        <v>122</v>
      </c>
      <c r="Z4" s="34" t="s">
        <v>123</v>
      </c>
      <c r="AA4" s="30" t="s">
        <v>119</v>
      </c>
      <c r="AB4" s="31" t="s">
        <v>120</v>
      </c>
      <c r="AC4" s="32" t="s">
        <v>121</v>
      </c>
      <c r="AD4" s="33" t="s">
        <v>122</v>
      </c>
      <c r="AE4" s="34" t="s">
        <v>123</v>
      </c>
      <c r="AF4" s="30" t="s">
        <v>119</v>
      </c>
      <c r="AG4" s="31" t="s">
        <v>120</v>
      </c>
      <c r="AH4" s="32" t="s">
        <v>121</v>
      </c>
      <c r="AI4" s="21" t="n">
        <f aca="false">COUNTIF(D4:AH4,"早A")</f>
        <v>6</v>
      </c>
    </row>
    <row r="5" customFormat="false" ht="17.15" hidden="false" customHeight="false" outlineLevel="0" collapsed="false">
      <c r="A5" s="20" t="s">
        <v>126</v>
      </c>
      <c r="B5" s="0" t="s">
        <v>93</v>
      </c>
      <c r="C5" s="20" t="s">
        <v>127</v>
      </c>
      <c r="D5" s="30" t="s">
        <v>119</v>
      </c>
      <c r="E5" s="31" t="s">
        <v>120</v>
      </c>
      <c r="F5" s="32" t="s">
        <v>121</v>
      </c>
      <c r="G5" s="33" t="s">
        <v>122</v>
      </c>
      <c r="H5" s="34" t="s">
        <v>123</v>
      </c>
      <c r="I5" s="30" t="s">
        <v>119</v>
      </c>
      <c r="J5" s="31" t="s">
        <v>120</v>
      </c>
      <c r="K5" s="32" t="s">
        <v>121</v>
      </c>
      <c r="L5" s="33" t="s">
        <v>122</v>
      </c>
      <c r="M5" s="35" t="s">
        <v>123</v>
      </c>
      <c r="N5" s="36" t="s">
        <v>119</v>
      </c>
      <c r="O5" s="31" t="s">
        <v>120</v>
      </c>
      <c r="P5" s="32" t="s">
        <v>121</v>
      </c>
      <c r="Q5" s="33" t="s">
        <v>122</v>
      </c>
      <c r="R5" s="34" t="s">
        <v>123</v>
      </c>
      <c r="S5" s="30" t="s">
        <v>119</v>
      </c>
      <c r="T5" s="31" t="s">
        <v>120</v>
      </c>
      <c r="U5" s="32" t="s">
        <v>121</v>
      </c>
      <c r="V5" s="33" t="s">
        <v>122</v>
      </c>
      <c r="W5" s="34" t="s">
        <v>123</v>
      </c>
      <c r="X5" s="30" t="s">
        <v>119</v>
      </c>
      <c r="Y5" s="31" t="s">
        <v>120</v>
      </c>
      <c r="Z5" s="32" t="s">
        <v>121</v>
      </c>
      <c r="AA5" s="33" t="s">
        <v>122</v>
      </c>
      <c r="AB5" s="34" t="s">
        <v>123</v>
      </c>
      <c r="AC5" s="30" t="s">
        <v>119</v>
      </c>
      <c r="AD5" s="31" t="s">
        <v>120</v>
      </c>
      <c r="AE5" s="32" t="s">
        <v>121</v>
      </c>
      <c r="AF5" s="33" t="s">
        <v>122</v>
      </c>
      <c r="AG5" s="34" t="s">
        <v>123</v>
      </c>
      <c r="AH5" s="30" t="s">
        <v>119</v>
      </c>
      <c r="AI5" s="21" t="n">
        <f aca="false">COUNTIF(D5:AH5,"早A")</f>
        <v>7</v>
      </c>
    </row>
    <row r="6" customFormat="false" ht="17.15" hidden="false" customHeight="false" outlineLevel="0" collapsed="false">
      <c r="A6" s="20" t="s">
        <v>128</v>
      </c>
      <c r="B6" s="0" t="s">
        <v>94</v>
      </c>
      <c r="C6" s="20" t="s">
        <v>127</v>
      </c>
      <c r="D6" s="31" t="s">
        <v>120</v>
      </c>
      <c r="E6" s="32" t="s">
        <v>121</v>
      </c>
      <c r="F6" s="33" t="s">
        <v>122</v>
      </c>
      <c r="G6" s="34" t="s">
        <v>123</v>
      </c>
      <c r="H6" s="30" t="s">
        <v>119</v>
      </c>
      <c r="I6" s="31" t="s">
        <v>120</v>
      </c>
      <c r="J6" s="32" t="s">
        <v>121</v>
      </c>
      <c r="K6" s="33" t="s">
        <v>122</v>
      </c>
      <c r="L6" s="34" t="s">
        <v>123</v>
      </c>
      <c r="M6" s="30" t="s">
        <v>119</v>
      </c>
      <c r="N6" s="31" t="s">
        <v>120</v>
      </c>
      <c r="O6" s="32" t="s">
        <v>121</v>
      </c>
      <c r="P6" s="33" t="s">
        <v>122</v>
      </c>
      <c r="Q6" s="34" t="s">
        <v>123</v>
      </c>
      <c r="R6" s="30" t="s">
        <v>119</v>
      </c>
      <c r="S6" s="31" t="s">
        <v>120</v>
      </c>
      <c r="T6" s="32" t="s">
        <v>121</v>
      </c>
      <c r="U6" s="33" t="s">
        <v>122</v>
      </c>
      <c r="V6" s="34" t="s">
        <v>123</v>
      </c>
      <c r="W6" s="30" t="s">
        <v>119</v>
      </c>
      <c r="X6" s="31" t="s">
        <v>120</v>
      </c>
      <c r="Y6" s="32" t="s">
        <v>121</v>
      </c>
      <c r="Z6" s="33" t="s">
        <v>122</v>
      </c>
      <c r="AA6" s="34" t="s">
        <v>123</v>
      </c>
      <c r="AB6" s="30" t="s">
        <v>119</v>
      </c>
      <c r="AC6" s="31" t="s">
        <v>120</v>
      </c>
      <c r="AD6" s="32" t="s">
        <v>121</v>
      </c>
      <c r="AE6" s="33" t="s">
        <v>122</v>
      </c>
      <c r="AF6" s="34" t="s">
        <v>123</v>
      </c>
      <c r="AG6" s="30" t="s">
        <v>119</v>
      </c>
      <c r="AH6" s="31" t="s">
        <v>120</v>
      </c>
      <c r="AI6" s="21" t="n">
        <f aca="false">COUNTIF(D6:AH6,"早A")</f>
        <v>6</v>
      </c>
    </row>
    <row r="7" customFormat="false" ht="17.15" hidden="false" customHeight="false" outlineLevel="0" collapsed="false">
      <c r="A7" s="20" t="s">
        <v>129</v>
      </c>
      <c r="B7" s="0" t="s">
        <v>95</v>
      </c>
      <c r="C7" s="20" t="s">
        <v>127</v>
      </c>
      <c r="D7" s="32" t="s">
        <v>121</v>
      </c>
      <c r="E7" s="33" t="s">
        <v>122</v>
      </c>
      <c r="F7" s="34" t="s">
        <v>123</v>
      </c>
      <c r="G7" s="30" t="s">
        <v>119</v>
      </c>
      <c r="H7" s="31" t="s">
        <v>120</v>
      </c>
      <c r="I7" s="32" t="s">
        <v>121</v>
      </c>
      <c r="J7" s="33" t="s">
        <v>122</v>
      </c>
      <c r="K7" s="34" t="s">
        <v>123</v>
      </c>
      <c r="L7" s="30" t="s">
        <v>119</v>
      </c>
      <c r="M7" s="31" t="s">
        <v>120</v>
      </c>
      <c r="N7" s="32" t="s">
        <v>121</v>
      </c>
      <c r="O7" s="33" t="s">
        <v>122</v>
      </c>
      <c r="P7" s="34" t="s">
        <v>123</v>
      </c>
      <c r="Q7" s="30" t="s">
        <v>119</v>
      </c>
      <c r="R7" s="31" t="s">
        <v>120</v>
      </c>
      <c r="S7" s="32" t="s">
        <v>121</v>
      </c>
      <c r="T7" s="33" t="s">
        <v>122</v>
      </c>
      <c r="U7" s="34" t="s">
        <v>123</v>
      </c>
      <c r="V7" s="30" t="s">
        <v>119</v>
      </c>
      <c r="W7" s="31" t="s">
        <v>120</v>
      </c>
      <c r="X7" s="32" t="s">
        <v>121</v>
      </c>
      <c r="Y7" s="33" t="s">
        <v>122</v>
      </c>
      <c r="Z7" s="34" t="s">
        <v>123</v>
      </c>
      <c r="AA7" s="30" t="s">
        <v>119</v>
      </c>
      <c r="AB7" s="31" t="s">
        <v>120</v>
      </c>
      <c r="AC7" s="32" t="s">
        <v>121</v>
      </c>
      <c r="AD7" s="33" t="s">
        <v>122</v>
      </c>
      <c r="AE7" s="34" t="s">
        <v>123</v>
      </c>
      <c r="AF7" s="30" t="s">
        <v>119</v>
      </c>
      <c r="AG7" s="31" t="s">
        <v>120</v>
      </c>
      <c r="AH7" s="32" t="s">
        <v>121</v>
      </c>
      <c r="AI7" s="21" t="n">
        <f aca="false">COUNTIF(D7:AH7,"早A")</f>
        <v>6</v>
      </c>
    </row>
    <row r="8" customFormat="false" ht="17.15" hidden="false" customHeight="false" outlineLevel="0" collapsed="false">
      <c r="A8" s="20" t="s">
        <v>130</v>
      </c>
      <c r="B8" s="0" t="s">
        <v>96</v>
      </c>
      <c r="C8" s="20" t="s">
        <v>127</v>
      </c>
      <c r="D8" s="33" t="s">
        <v>122</v>
      </c>
      <c r="E8" s="34" t="s">
        <v>123</v>
      </c>
      <c r="F8" s="30" t="s">
        <v>119</v>
      </c>
      <c r="G8" s="31" t="s">
        <v>120</v>
      </c>
      <c r="H8" s="32" t="s">
        <v>121</v>
      </c>
      <c r="I8" s="33" t="s">
        <v>122</v>
      </c>
      <c r="J8" s="34" t="s">
        <v>123</v>
      </c>
      <c r="K8" s="30" t="s">
        <v>119</v>
      </c>
      <c r="L8" s="31" t="s">
        <v>120</v>
      </c>
      <c r="M8" s="32" t="s">
        <v>121</v>
      </c>
      <c r="N8" s="33" t="s">
        <v>122</v>
      </c>
      <c r="O8" s="34" t="s">
        <v>123</v>
      </c>
      <c r="P8" s="30" t="s">
        <v>119</v>
      </c>
      <c r="Q8" s="31" t="s">
        <v>120</v>
      </c>
      <c r="R8" s="32" t="s">
        <v>121</v>
      </c>
      <c r="S8" s="33" t="s">
        <v>122</v>
      </c>
      <c r="T8" s="34" t="s">
        <v>123</v>
      </c>
      <c r="U8" s="30" t="s">
        <v>119</v>
      </c>
      <c r="V8" s="31" t="s">
        <v>120</v>
      </c>
      <c r="W8" s="32" t="s">
        <v>121</v>
      </c>
      <c r="X8" s="33" t="s">
        <v>122</v>
      </c>
      <c r="Y8" s="34" t="s">
        <v>123</v>
      </c>
      <c r="Z8" s="30" t="s">
        <v>119</v>
      </c>
      <c r="AA8" s="31" t="s">
        <v>120</v>
      </c>
      <c r="AB8" s="32" t="s">
        <v>121</v>
      </c>
      <c r="AC8" s="33" t="s">
        <v>122</v>
      </c>
      <c r="AD8" s="34" t="s">
        <v>123</v>
      </c>
      <c r="AE8" s="30" t="s">
        <v>119</v>
      </c>
      <c r="AF8" s="31" t="s">
        <v>120</v>
      </c>
      <c r="AG8" s="32" t="s">
        <v>121</v>
      </c>
      <c r="AH8" s="33" t="s">
        <v>122</v>
      </c>
      <c r="AI8" s="21" t="n">
        <f aca="false">COUNTIF(D8:AH8,"早A")</f>
        <v>6</v>
      </c>
    </row>
    <row r="9" customFormat="false" ht="17.15" hidden="false" customHeight="false" outlineLevel="0" collapsed="false">
      <c r="A9" s="20" t="s">
        <v>131</v>
      </c>
      <c r="B9" s="0" t="s">
        <v>93</v>
      </c>
      <c r="C9" s="20" t="s">
        <v>132</v>
      </c>
      <c r="D9" s="30" t="s">
        <v>119</v>
      </c>
      <c r="E9" s="31" t="s">
        <v>120</v>
      </c>
      <c r="F9" s="32" t="s">
        <v>121</v>
      </c>
      <c r="G9" s="33" t="s">
        <v>122</v>
      </c>
      <c r="H9" s="34" t="s">
        <v>123</v>
      </c>
      <c r="I9" s="30" t="s">
        <v>119</v>
      </c>
      <c r="J9" s="31" t="s">
        <v>120</v>
      </c>
      <c r="K9" s="32" t="s">
        <v>121</v>
      </c>
      <c r="L9" s="33" t="s">
        <v>122</v>
      </c>
      <c r="M9" s="34" t="s">
        <v>123</v>
      </c>
      <c r="N9" s="30" t="s">
        <v>119</v>
      </c>
      <c r="O9" s="31" t="s">
        <v>120</v>
      </c>
      <c r="P9" s="32" t="s">
        <v>121</v>
      </c>
      <c r="Q9" s="33" t="s">
        <v>122</v>
      </c>
      <c r="R9" s="34" t="s">
        <v>123</v>
      </c>
      <c r="S9" s="30" t="s">
        <v>119</v>
      </c>
      <c r="T9" s="31" t="s">
        <v>120</v>
      </c>
      <c r="U9" s="32" t="s">
        <v>121</v>
      </c>
      <c r="V9" s="33" t="s">
        <v>122</v>
      </c>
      <c r="W9" s="34" t="s">
        <v>123</v>
      </c>
      <c r="X9" s="30" t="s">
        <v>119</v>
      </c>
      <c r="Y9" s="31" t="s">
        <v>120</v>
      </c>
      <c r="Z9" s="32" t="s">
        <v>121</v>
      </c>
      <c r="AA9" s="33" t="s">
        <v>122</v>
      </c>
      <c r="AB9" s="34" t="s">
        <v>123</v>
      </c>
      <c r="AC9" s="30" t="s">
        <v>119</v>
      </c>
      <c r="AD9" s="31" t="s">
        <v>120</v>
      </c>
      <c r="AE9" s="32" t="s">
        <v>121</v>
      </c>
      <c r="AF9" s="33" t="s">
        <v>122</v>
      </c>
      <c r="AG9" s="34" t="s">
        <v>123</v>
      </c>
      <c r="AH9" s="30" t="s">
        <v>119</v>
      </c>
      <c r="AI9" s="21" t="n">
        <f aca="false">COUNTIF(D9:AH9,"早A")</f>
        <v>7</v>
      </c>
    </row>
    <row r="10" customFormat="false" ht="17.15" hidden="false" customHeight="false" outlineLevel="0" collapsed="false">
      <c r="A10" s="20" t="s">
        <v>133</v>
      </c>
      <c r="B10" s="0" t="s">
        <v>95</v>
      </c>
      <c r="C10" s="20" t="s">
        <v>132</v>
      </c>
      <c r="D10" s="32" t="s">
        <v>121</v>
      </c>
      <c r="E10" s="33" t="s">
        <v>122</v>
      </c>
      <c r="F10" s="34" t="s">
        <v>123</v>
      </c>
      <c r="G10" s="30" t="s">
        <v>119</v>
      </c>
      <c r="H10" s="31" t="s">
        <v>120</v>
      </c>
      <c r="I10" s="32" t="s">
        <v>121</v>
      </c>
      <c r="J10" s="33" t="s">
        <v>122</v>
      </c>
      <c r="K10" s="34" t="s">
        <v>123</v>
      </c>
      <c r="L10" s="30" t="s">
        <v>119</v>
      </c>
      <c r="M10" s="31" t="s">
        <v>120</v>
      </c>
      <c r="N10" s="32" t="s">
        <v>121</v>
      </c>
      <c r="O10" s="33" t="s">
        <v>122</v>
      </c>
      <c r="P10" s="34" t="s">
        <v>123</v>
      </c>
      <c r="Q10" s="30" t="s">
        <v>119</v>
      </c>
      <c r="R10" s="37" t="s">
        <v>120</v>
      </c>
      <c r="S10" s="38" t="s">
        <v>121</v>
      </c>
      <c r="T10" s="39" t="s">
        <v>122</v>
      </c>
      <c r="U10" s="34" t="s">
        <v>123</v>
      </c>
      <c r="V10" s="30" t="s">
        <v>119</v>
      </c>
      <c r="W10" s="31" t="s">
        <v>120</v>
      </c>
      <c r="X10" s="32" t="s">
        <v>121</v>
      </c>
      <c r="Y10" s="33" t="s">
        <v>122</v>
      </c>
      <c r="Z10" s="34" t="s">
        <v>123</v>
      </c>
      <c r="AA10" s="30" t="s">
        <v>119</v>
      </c>
      <c r="AB10" s="31" t="s">
        <v>120</v>
      </c>
      <c r="AC10" s="32" t="s">
        <v>121</v>
      </c>
      <c r="AD10" s="33" t="s">
        <v>122</v>
      </c>
      <c r="AE10" s="34" t="s">
        <v>123</v>
      </c>
      <c r="AF10" s="30" t="s">
        <v>119</v>
      </c>
      <c r="AG10" s="31" t="s">
        <v>120</v>
      </c>
      <c r="AH10" s="32" t="s">
        <v>121</v>
      </c>
      <c r="AI10" s="21" t="n">
        <f aca="false">COUNTIF(D10:AH10,"早A")</f>
        <v>6</v>
      </c>
    </row>
    <row r="11" customFormat="false" ht="17.15" hidden="false" customHeight="false" outlineLevel="0" collapsed="false">
      <c r="A11" s="20" t="s">
        <v>134</v>
      </c>
      <c r="B11" s="0" t="s">
        <v>96</v>
      </c>
      <c r="C11" s="20" t="s">
        <v>135</v>
      </c>
      <c r="D11" s="33" t="s">
        <v>122</v>
      </c>
      <c r="E11" s="34" t="s">
        <v>123</v>
      </c>
      <c r="F11" s="30" t="s">
        <v>119</v>
      </c>
      <c r="G11" s="31" t="s">
        <v>120</v>
      </c>
      <c r="H11" s="32" t="s">
        <v>121</v>
      </c>
      <c r="I11" s="33" t="s">
        <v>122</v>
      </c>
      <c r="J11" s="34" t="s">
        <v>123</v>
      </c>
      <c r="K11" s="30" t="s">
        <v>119</v>
      </c>
      <c r="L11" s="31" t="s">
        <v>120</v>
      </c>
      <c r="M11" s="32" t="s">
        <v>121</v>
      </c>
      <c r="N11" s="33" t="s">
        <v>122</v>
      </c>
      <c r="O11" s="34" t="s">
        <v>123</v>
      </c>
      <c r="P11" s="30" t="s">
        <v>119</v>
      </c>
      <c r="Q11" s="31" t="s">
        <v>120</v>
      </c>
      <c r="R11" s="32" t="s">
        <v>121</v>
      </c>
      <c r="S11" s="33" t="s">
        <v>122</v>
      </c>
      <c r="T11" s="34" t="s">
        <v>123</v>
      </c>
      <c r="U11" s="30" t="s">
        <v>119</v>
      </c>
      <c r="V11" s="31" t="s">
        <v>120</v>
      </c>
      <c r="W11" s="32" t="s">
        <v>121</v>
      </c>
      <c r="X11" s="33" t="s">
        <v>122</v>
      </c>
      <c r="Y11" s="34" t="s">
        <v>123</v>
      </c>
      <c r="Z11" s="30" t="s">
        <v>119</v>
      </c>
      <c r="AA11" s="31" t="s">
        <v>120</v>
      </c>
      <c r="AB11" s="32" t="s">
        <v>121</v>
      </c>
      <c r="AC11" s="33" t="s">
        <v>122</v>
      </c>
      <c r="AD11" s="34" t="s">
        <v>123</v>
      </c>
      <c r="AE11" s="30" t="s">
        <v>119</v>
      </c>
      <c r="AF11" s="31" t="s">
        <v>120</v>
      </c>
      <c r="AG11" s="32" t="s">
        <v>121</v>
      </c>
      <c r="AH11" s="33" t="s">
        <v>122</v>
      </c>
      <c r="AI11" s="21" t="n">
        <f aca="false">COUNTIF(D11:AH11,"早A")</f>
        <v>6</v>
      </c>
    </row>
    <row r="12" customFormat="false" ht="17.15" hidden="false" customHeight="false" outlineLevel="0" collapsed="false">
      <c r="A12" s="20" t="s">
        <v>136</v>
      </c>
      <c r="B12" s="0" t="s">
        <v>97</v>
      </c>
      <c r="C12" s="20" t="s">
        <v>135</v>
      </c>
      <c r="D12" s="34" t="s">
        <v>123</v>
      </c>
      <c r="E12" s="30" t="s">
        <v>119</v>
      </c>
      <c r="F12" s="31" t="s">
        <v>120</v>
      </c>
      <c r="G12" s="32" t="s">
        <v>121</v>
      </c>
      <c r="H12" s="33" t="s">
        <v>122</v>
      </c>
      <c r="I12" s="34" t="s">
        <v>123</v>
      </c>
      <c r="J12" s="30" t="s">
        <v>119</v>
      </c>
      <c r="K12" s="31" t="s">
        <v>120</v>
      </c>
      <c r="L12" s="32" t="s">
        <v>121</v>
      </c>
      <c r="M12" s="33" t="s">
        <v>122</v>
      </c>
      <c r="N12" s="34" t="s">
        <v>123</v>
      </c>
      <c r="O12" s="30" t="s">
        <v>119</v>
      </c>
      <c r="P12" s="31" t="s">
        <v>120</v>
      </c>
      <c r="Q12" s="32" t="s">
        <v>121</v>
      </c>
      <c r="R12" s="33" t="s">
        <v>122</v>
      </c>
      <c r="S12" s="34" t="s">
        <v>123</v>
      </c>
      <c r="T12" s="30" t="s">
        <v>119</v>
      </c>
      <c r="U12" s="31" t="s">
        <v>120</v>
      </c>
      <c r="V12" s="32" t="s">
        <v>121</v>
      </c>
      <c r="W12" s="33" t="s">
        <v>122</v>
      </c>
      <c r="X12" s="34" t="s">
        <v>123</v>
      </c>
      <c r="Y12" s="30" t="s">
        <v>119</v>
      </c>
      <c r="Z12" s="31" t="s">
        <v>120</v>
      </c>
      <c r="AA12" s="32" t="s">
        <v>121</v>
      </c>
      <c r="AB12" s="33" t="s">
        <v>122</v>
      </c>
      <c r="AC12" s="34" t="s">
        <v>123</v>
      </c>
      <c r="AD12" s="30" t="s">
        <v>119</v>
      </c>
      <c r="AE12" s="31" t="s">
        <v>120</v>
      </c>
      <c r="AF12" s="32" t="s">
        <v>121</v>
      </c>
      <c r="AG12" s="33" t="s">
        <v>122</v>
      </c>
      <c r="AH12" s="34" t="s">
        <v>123</v>
      </c>
      <c r="AI12" s="21" t="n">
        <f aca="false">COUNTIF(D12:AH12,"早A")</f>
        <v>6</v>
      </c>
    </row>
    <row r="13" customFormat="false" ht="17.15" hidden="false" customHeight="false" outlineLevel="0" collapsed="false">
      <c r="A13" s="20" t="s">
        <v>137</v>
      </c>
      <c r="B13" s="0" t="s">
        <v>94</v>
      </c>
      <c r="C13" s="20" t="s">
        <v>138</v>
      </c>
      <c r="D13" s="31" t="s">
        <v>120</v>
      </c>
      <c r="E13" s="32" t="s">
        <v>121</v>
      </c>
      <c r="F13" s="33" t="s">
        <v>122</v>
      </c>
      <c r="G13" s="34" t="s">
        <v>123</v>
      </c>
      <c r="H13" s="30" t="s">
        <v>119</v>
      </c>
      <c r="I13" s="31" t="s">
        <v>120</v>
      </c>
      <c r="J13" s="32" t="s">
        <v>121</v>
      </c>
      <c r="K13" s="33" t="s">
        <v>122</v>
      </c>
      <c r="L13" s="34" t="s">
        <v>123</v>
      </c>
      <c r="M13" s="30" t="s">
        <v>119</v>
      </c>
      <c r="N13" s="31" t="s">
        <v>120</v>
      </c>
      <c r="O13" s="32" t="s">
        <v>121</v>
      </c>
      <c r="P13" s="33" t="s">
        <v>122</v>
      </c>
      <c r="Q13" s="34" t="s">
        <v>123</v>
      </c>
      <c r="R13" s="30" t="s">
        <v>119</v>
      </c>
      <c r="S13" s="31" t="s">
        <v>120</v>
      </c>
      <c r="T13" s="32" t="s">
        <v>121</v>
      </c>
      <c r="U13" s="33" t="s">
        <v>122</v>
      </c>
      <c r="V13" s="34" t="s">
        <v>123</v>
      </c>
      <c r="W13" s="36" t="s">
        <v>119</v>
      </c>
      <c r="X13" s="31" t="s">
        <v>120</v>
      </c>
      <c r="Y13" s="32" t="s">
        <v>121</v>
      </c>
      <c r="Z13" s="33" t="s">
        <v>122</v>
      </c>
      <c r="AA13" s="34" t="s">
        <v>123</v>
      </c>
      <c r="AB13" s="30" t="s">
        <v>119</v>
      </c>
      <c r="AC13" s="31" t="s">
        <v>120</v>
      </c>
      <c r="AD13" s="32" t="s">
        <v>121</v>
      </c>
      <c r="AE13" s="33" t="s">
        <v>122</v>
      </c>
      <c r="AF13" s="34" t="s">
        <v>123</v>
      </c>
      <c r="AG13" s="30" t="s">
        <v>119</v>
      </c>
      <c r="AH13" s="31" t="s">
        <v>120</v>
      </c>
      <c r="AI13" s="21" t="n">
        <f aca="false">COUNTIF(D13:AH13,"早A")</f>
        <v>6</v>
      </c>
    </row>
    <row r="14" customFormat="false" ht="17.15" hidden="false" customHeight="false" outlineLevel="0" collapsed="false">
      <c r="A14" s="20" t="s">
        <v>139</v>
      </c>
      <c r="B14" s="0" t="s">
        <v>96</v>
      </c>
      <c r="C14" s="20" t="s">
        <v>138</v>
      </c>
      <c r="D14" s="33" t="s">
        <v>122</v>
      </c>
      <c r="E14" s="34" t="s">
        <v>123</v>
      </c>
      <c r="F14" s="30" t="s">
        <v>119</v>
      </c>
      <c r="G14" s="31" t="s">
        <v>120</v>
      </c>
      <c r="H14" s="32" t="s">
        <v>121</v>
      </c>
      <c r="I14" s="33" t="s">
        <v>122</v>
      </c>
      <c r="J14" s="34" t="s">
        <v>123</v>
      </c>
      <c r="K14" s="30" t="s">
        <v>119</v>
      </c>
      <c r="L14" s="31" t="s">
        <v>120</v>
      </c>
      <c r="M14" s="32" t="s">
        <v>121</v>
      </c>
      <c r="N14" s="33" t="s">
        <v>122</v>
      </c>
      <c r="O14" s="34" t="s">
        <v>123</v>
      </c>
      <c r="P14" s="30" t="s">
        <v>119</v>
      </c>
      <c r="Q14" s="31" t="s">
        <v>120</v>
      </c>
      <c r="R14" s="32" t="s">
        <v>121</v>
      </c>
      <c r="S14" s="33" t="s">
        <v>122</v>
      </c>
      <c r="T14" s="34" t="s">
        <v>123</v>
      </c>
      <c r="U14" s="30" t="s">
        <v>119</v>
      </c>
      <c r="V14" s="31" t="s">
        <v>120</v>
      </c>
      <c r="W14" s="32" t="s">
        <v>121</v>
      </c>
      <c r="X14" s="33" t="s">
        <v>122</v>
      </c>
      <c r="Y14" s="34" t="s">
        <v>123</v>
      </c>
      <c r="Z14" s="30" t="s">
        <v>119</v>
      </c>
      <c r="AA14" s="31" t="s">
        <v>120</v>
      </c>
      <c r="AB14" s="32" t="s">
        <v>121</v>
      </c>
      <c r="AC14" s="33" t="s">
        <v>122</v>
      </c>
      <c r="AD14" s="34" t="s">
        <v>123</v>
      </c>
      <c r="AE14" s="30" t="s">
        <v>119</v>
      </c>
      <c r="AF14" s="31" t="s">
        <v>120</v>
      </c>
      <c r="AG14" s="32" t="s">
        <v>121</v>
      </c>
      <c r="AH14" s="33" t="s">
        <v>122</v>
      </c>
      <c r="AI14" s="21" t="n">
        <f aca="false">COUNTIF(D14:AH14,"早A")</f>
        <v>6</v>
      </c>
    </row>
    <row r="15" customFormat="false" ht="17.15" hidden="false" customHeight="false" outlineLevel="0" collapsed="false">
      <c r="A15" s="20" t="s">
        <v>140</v>
      </c>
      <c r="B15" s="0" t="s">
        <v>97</v>
      </c>
      <c r="C15" s="20" t="s">
        <v>127</v>
      </c>
      <c r="D15" s="34" t="s">
        <v>123</v>
      </c>
      <c r="E15" s="30" t="s">
        <v>119</v>
      </c>
      <c r="F15" s="31" t="s">
        <v>120</v>
      </c>
      <c r="G15" s="32" t="s">
        <v>121</v>
      </c>
      <c r="H15" s="33" t="s">
        <v>122</v>
      </c>
      <c r="I15" s="34" t="s">
        <v>123</v>
      </c>
      <c r="J15" s="30" t="s">
        <v>119</v>
      </c>
      <c r="K15" s="31" t="s">
        <v>120</v>
      </c>
      <c r="L15" s="32" t="s">
        <v>121</v>
      </c>
      <c r="M15" s="33" t="s">
        <v>122</v>
      </c>
      <c r="N15" s="34" t="s">
        <v>123</v>
      </c>
      <c r="O15" s="30" t="s">
        <v>119</v>
      </c>
      <c r="P15" s="31" t="s">
        <v>120</v>
      </c>
      <c r="Q15" s="32" t="s">
        <v>121</v>
      </c>
      <c r="R15" s="33" t="s">
        <v>122</v>
      </c>
      <c r="S15" s="34" t="s">
        <v>123</v>
      </c>
      <c r="T15" s="30" t="s">
        <v>119</v>
      </c>
      <c r="U15" s="31" t="s">
        <v>120</v>
      </c>
      <c r="V15" s="32" t="s">
        <v>121</v>
      </c>
      <c r="W15" s="33" t="s">
        <v>122</v>
      </c>
      <c r="X15" s="34" t="s">
        <v>123</v>
      </c>
      <c r="Y15" s="30" t="s">
        <v>119</v>
      </c>
      <c r="Z15" s="31" t="s">
        <v>120</v>
      </c>
      <c r="AA15" s="32" t="s">
        <v>121</v>
      </c>
      <c r="AB15" s="33" t="s">
        <v>122</v>
      </c>
      <c r="AC15" s="34" t="s">
        <v>123</v>
      </c>
      <c r="AD15" s="30" t="s">
        <v>119</v>
      </c>
      <c r="AE15" s="31" t="s">
        <v>120</v>
      </c>
      <c r="AF15" s="32" t="s">
        <v>121</v>
      </c>
      <c r="AG15" s="33" t="s">
        <v>122</v>
      </c>
      <c r="AH15" s="34" t="s">
        <v>123</v>
      </c>
      <c r="AI15" s="21" t="n">
        <f aca="false">COUNTIF(D15:AH15,"早A")</f>
        <v>6</v>
      </c>
    </row>
    <row r="16" customFormat="false" ht="17.15" hidden="false" customHeight="false" outlineLevel="0" collapsed="false">
      <c r="A16" s="20" t="s">
        <v>141</v>
      </c>
      <c r="B16" s="0" t="s">
        <v>97</v>
      </c>
      <c r="C16" s="20" t="s">
        <v>132</v>
      </c>
      <c r="D16" s="34" t="s">
        <v>123</v>
      </c>
      <c r="E16" s="30" t="s">
        <v>119</v>
      </c>
      <c r="F16" s="31" t="s">
        <v>120</v>
      </c>
      <c r="G16" s="32" t="s">
        <v>121</v>
      </c>
      <c r="H16" s="33" t="s">
        <v>122</v>
      </c>
      <c r="I16" s="34" t="s">
        <v>123</v>
      </c>
      <c r="J16" s="30" t="s">
        <v>119</v>
      </c>
      <c r="K16" s="31" t="s">
        <v>120</v>
      </c>
      <c r="L16" s="32" t="s">
        <v>121</v>
      </c>
      <c r="M16" s="33" t="s">
        <v>122</v>
      </c>
      <c r="N16" s="34" t="s">
        <v>123</v>
      </c>
      <c r="O16" s="30" t="s">
        <v>119</v>
      </c>
      <c r="P16" s="31" t="s">
        <v>120</v>
      </c>
      <c r="Q16" s="32" t="s">
        <v>121</v>
      </c>
      <c r="R16" s="33" t="s">
        <v>122</v>
      </c>
      <c r="S16" s="34" t="s">
        <v>123</v>
      </c>
      <c r="T16" s="30" t="s">
        <v>119</v>
      </c>
      <c r="U16" s="31" t="s">
        <v>120</v>
      </c>
      <c r="V16" s="32" t="s">
        <v>121</v>
      </c>
      <c r="W16" s="33" t="s">
        <v>122</v>
      </c>
      <c r="X16" s="34" t="s">
        <v>123</v>
      </c>
      <c r="Y16" s="30" t="s">
        <v>119</v>
      </c>
      <c r="Z16" s="31" t="s">
        <v>120</v>
      </c>
      <c r="AA16" s="32" t="s">
        <v>121</v>
      </c>
      <c r="AB16" s="33" t="s">
        <v>122</v>
      </c>
      <c r="AC16" s="34" t="s">
        <v>123</v>
      </c>
      <c r="AD16" s="30" t="s">
        <v>119</v>
      </c>
      <c r="AE16" s="31" t="s">
        <v>120</v>
      </c>
      <c r="AF16" s="32" t="s">
        <v>121</v>
      </c>
      <c r="AG16" s="33" t="s">
        <v>122</v>
      </c>
      <c r="AH16" s="34" t="s">
        <v>123</v>
      </c>
      <c r="AI16" s="21" t="n">
        <f aca="false">COUNTIF(D16:AH16,"早A")</f>
        <v>6</v>
      </c>
    </row>
    <row r="18" customFormat="false" ht="17.15" hidden="false" customHeight="false" outlineLevel="0" collapsed="false">
      <c r="A18" s="13" t="s">
        <v>142</v>
      </c>
    </row>
    <row r="19" customFormat="false" ht="17.15" hidden="false" customHeight="false" outlineLevel="0" collapsed="false">
      <c r="A19" s="40" t="s">
        <v>143</v>
      </c>
      <c r="B19" s="16" t="s">
        <v>144</v>
      </c>
    </row>
    <row r="20" customFormat="false" ht="17.15" hidden="false" customHeight="false" outlineLevel="0" collapsed="false">
      <c r="A20" s="41" t="s">
        <v>145</v>
      </c>
      <c r="B20" s="16" t="s">
        <v>146</v>
      </c>
    </row>
    <row r="21" customFormat="false" ht="15" hidden="false" customHeight="false" outlineLevel="0" collapsed="false">
      <c r="A21" s="42" t="s">
        <v>121</v>
      </c>
      <c r="B21" s="16" t="s">
        <v>147</v>
      </c>
    </row>
    <row r="22" customFormat="false" ht="15" hidden="false" customHeight="false" outlineLevel="0" collapsed="false">
      <c r="A22" s="43" t="s">
        <v>122</v>
      </c>
      <c r="B22" s="16" t="s">
        <v>148</v>
      </c>
    </row>
    <row r="23" customFormat="false" ht="15" hidden="false" customHeight="false" outlineLevel="0" collapsed="false">
      <c r="A23" s="44" t="s">
        <v>123</v>
      </c>
      <c r="B23" s="16" t="s">
        <v>149</v>
      </c>
    </row>
    <row r="24" customFormat="false" ht="15" hidden="false" customHeight="false" outlineLevel="0" collapsed="false">
      <c r="A24" s="13" t="s">
        <v>150</v>
      </c>
      <c r="B24" s="16" t="s">
        <v>151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4" min="4" style="0" width="16"/>
    <col collapsed="false" customWidth="true" hidden="false" outlineLevel="0" max="6" min="6" style="0" width="30"/>
    <col collapsed="false" customWidth="true" hidden="false" outlineLevel="0" max="7" min="7" style="0" width="26"/>
    <col collapsed="false" customWidth="true" hidden="false" outlineLevel="0" max="9" min="8" style="0" width="14"/>
    <col collapsed="false" customWidth="true" hidden="false" outlineLevel="0" max="10" min="10" style="0" width="55"/>
    <col collapsed="false" customWidth="true" hidden="false" outlineLevel="0" max="11" min="11" style="0" width="12"/>
    <col collapsed="false" customWidth="true" hidden="false" outlineLevel="0" max="12" min="12" style="0" width="45"/>
  </cols>
  <sheetData>
    <row r="1" customFormat="false" ht="17.15" hidden="false" customHeight="false" outlineLevel="0" collapsed="false">
      <c r="A1" s="13" t="s">
        <v>152</v>
      </c>
      <c r="B1" s="45" t="n">
        <f aca="false">シフト健全度!C3</f>
        <v>71.5833333333333</v>
      </c>
      <c r="C1" s="0" t="str">
        <f aca="false">シフト健全度!C4</f>
        <v>要注意:イベント重複時は厳しい可能性</v>
      </c>
    </row>
    <row r="3" customFormat="false" ht="17.15" hidden="false" customHeight="false" outlineLevel="0" collapsed="false">
      <c r="A3" s="15" t="s">
        <v>115</v>
      </c>
      <c r="B3" s="15" t="s">
        <v>90</v>
      </c>
      <c r="C3" s="15" t="s">
        <v>153</v>
      </c>
      <c r="D3" s="15" t="s">
        <v>154</v>
      </c>
      <c r="E3" s="15" t="s">
        <v>155</v>
      </c>
      <c r="F3" s="15" t="s">
        <v>156</v>
      </c>
      <c r="G3" s="15" t="s">
        <v>74</v>
      </c>
      <c r="H3" s="15" t="s">
        <v>157</v>
      </c>
      <c r="I3" s="15" t="s">
        <v>158</v>
      </c>
      <c r="J3" s="15" t="s">
        <v>159</v>
      </c>
      <c r="K3" s="15" t="s">
        <v>160</v>
      </c>
      <c r="L3" s="15" t="s">
        <v>161</v>
      </c>
    </row>
    <row r="4" customFormat="false" ht="32.8" hidden="false" customHeight="false" outlineLevel="0" collapsed="false">
      <c r="A4" s="20" t="s">
        <v>126</v>
      </c>
      <c r="B4" s="0" t="str">
        <f aca="false">VLOOKUP(A4,メンバーデータ!$A:$B,2,FALSE())</f>
        <v>A</v>
      </c>
      <c r="C4" s="46" t="n">
        <v>46244</v>
      </c>
      <c r="D4" s="21" t="s">
        <v>162</v>
      </c>
      <c r="E4" s="0" t="str">
        <f aca="false">INDEX('シフト表(2026年8月)'!$D$2:$AH$16,MATCH($A4,'シフト表(2026年8月)'!$A$2:$A$16,0),MATCH($C4,'シフト表(2026年8月)'!$D$1:$AH$1,0))</f>
        <v>休</v>
      </c>
      <c r="F4" s="21" t="n">
        <f aca="false">SUMIFS(メンバーデータ!$O:$O,メンバーデータ!$B:$B,B4)-VLOOKUP(A4,メンバーデータ!$A:$O,15,FALSE())</f>
        <v>2</v>
      </c>
      <c r="G4" s="0" t="str">
        <f aca="false">IF(F4&gt;=2,"バックアップ不要",IF(F4=1,"要注意(イベント時はバックアップ検討)","バックアップ出動が必要"))</f>
        <v>バックアップ不要</v>
      </c>
      <c r="H4" s="47" t="n">
        <v>46204</v>
      </c>
      <c r="I4" s="48" t="s">
        <v>163</v>
      </c>
      <c r="J4" s="6" t="s">
        <v>164</v>
      </c>
      <c r="K4" s="0" t="n">
        <v>0</v>
      </c>
      <c r="L4" s="6" t="s">
        <v>165</v>
      </c>
    </row>
    <row r="5" customFormat="false" ht="32.8" hidden="false" customHeight="false" outlineLevel="0" collapsed="false">
      <c r="A5" s="20" t="s">
        <v>126</v>
      </c>
      <c r="B5" s="0" t="str">
        <f aca="false">VLOOKUP(A5,メンバーデータ!$A:$B,2,FALSE())</f>
        <v>A</v>
      </c>
      <c r="C5" s="49" t="n">
        <v>46245</v>
      </c>
      <c r="D5" s="21" t="s">
        <v>162</v>
      </c>
      <c r="E5" s="0" t="str">
        <f aca="false">INDEX('シフト表(2026年8月)'!$D$2:$AH$16,MATCH($A5,'シフト表(2026年8月)'!$A$2:$A$16,0),MATCH($C5,'シフト表(2026年8月)'!$D$1:$AH$1,0))</f>
        <v>早A</v>
      </c>
      <c r="F5" s="21" t="n">
        <f aca="false">SUMIFS(メンバーデータ!$O:$O,メンバーデータ!$B:$B,B5)-VLOOKUP(A5,メンバーデータ!$A:$O,15,FALSE())</f>
        <v>2</v>
      </c>
      <c r="G5" s="0" t="str">
        <f aca="false">IF(F5&gt;=2,"バックアップ不要",IF(F5=1,"要注意(イベント時はバックアップ検討)","バックアップ出動が必要"))</f>
        <v>バックアップ不要</v>
      </c>
      <c r="H5" s="47" t="n">
        <v>46204</v>
      </c>
      <c r="I5" s="48" t="s">
        <v>163</v>
      </c>
      <c r="J5" s="6" t="s">
        <v>166</v>
      </c>
      <c r="K5" s="0" t="n">
        <v>0</v>
      </c>
      <c r="L5" s="6" t="s">
        <v>165</v>
      </c>
    </row>
    <row r="6" customFormat="false" ht="32.8" hidden="false" customHeight="false" outlineLevel="0" collapsed="false">
      <c r="A6" s="20" t="s">
        <v>137</v>
      </c>
      <c r="B6" s="0" t="str">
        <f aca="false">VLOOKUP(A6,メンバーデータ!$A:$B,2,FALSE())</f>
        <v>B</v>
      </c>
      <c r="C6" s="50" t="n">
        <v>46254</v>
      </c>
      <c r="D6" s="21" t="s">
        <v>162</v>
      </c>
      <c r="E6" s="0" t="str">
        <f aca="false">INDEX('シフト表(2026年8月)'!$D$2:$AH$16,MATCH($A6,'シフト表(2026年8月)'!$A$2:$A$16,0),MATCH($C6,'シフト表(2026年8月)'!$D$1:$AH$1,0))</f>
        <v>早A</v>
      </c>
      <c r="F6" s="21" t="n">
        <f aca="false">SUMIFS(メンバーデータ!$O:$O,メンバーデータ!$B:$B,B6)-VLOOKUP(A6,メンバーデータ!$A:$O,15,FALSE())</f>
        <v>2</v>
      </c>
      <c r="G6" s="0" t="str">
        <f aca="false">IF(F6&gt;=2,"バックアップ不要",IF(F6=1,"要注意(イベント時はバックアップ検討)","バックアップ出動が必要"))</f>
        <v>バックアップ不要</v>
      </c>
      <c r="H6" s="47" t="n">
        <v>46223</v>
      </c>
      <c r="I6" s="48" t="s">
        <v>163</v>
      </c>
      <c r="J6" s="6" t="s">
        <v>166</v>
      </c>
      <c r="K6" s="0" t="n">
        <v>0</v>
      </c>
      <c r="L6" s="6" t="s">
        <v>165</v>
      </c>
    </row>
    <row r="7" customFormat="false" ht="79.85" hidden="false" customHeight="false" outlineLevel="0" collapsed="false">
      <c r="A7" s="20" t="s">
        <v>133</v>
      </c>
      <c r="B7" s="0" t="str">
        <f aca="false">VLOOKUP(A7,メンバーデータ!$A:$B,2,FALSE())</f>
        <v>C</v>
      </c>
      <c r="C7" s="51" t="n">
        <v>46249</v>
      </c>
      <c r="D7" s="21" t="s">
        <v>162</v>
      </c>
      <c r="E7" s="0" t="str">
        <f aca="false">INDEX('シフト表(2026年8月)'!$D$2:$AH$16,MATCH($A7,'シフト表(2026年8月)'!$A$2:$A$16,0),MATCH($C7,'シフト表(2026年8月)'!$D$1:$AH$1,0))</f>
        <v>早B</v>
      </c>
      <c r="F7" s="21" t="n">
        <f aca="false">SUMIFS(メンバーデータ!$O:$O,メンバーデータ!$B:$B,B7)-VLOOKUP(A7,メンバーデータ!$A:$O,15,FALSE())</f>
        <v>2</v>
      </c>
      <c r="G7" s="0" t="str">
        <f aca="false">IF(F7&gt;=2,"バックアップ不要",IF(F7=1,"要注意(イベント時はバックアップ検討)","バックアップ出動が必要"))</f>
        <v>バックアップ不要</v>
      </c>
      <c r="H7" s="47" t="n">
        <v>46239</v>
      </c>
      <c r="I7" s="52" t="s">
        <v>167</v>
      </c>
      <c r="J7" s="6" t="s">
        <v>168</v>
      </c>
      <c r="K7" s="0" t="n">
        <v>3</v>
      </c>
      <c r="L7" s="6" t="s">
        <v>169</v>
      </c>
    </row>
    <row r="8" customFormat="false" ht="79.85" hidden="false" customHeight="false" outlineLevel="0" collapsed="false">
      <c r="A8" s="20" t="s">
        <v>133</v>
      </c>
      <c r="B8" s="0" t="str">
        <f aca="false">VLOOKUP(A8,メンバーデータ!$A:$B,2,FALSE())</f>
        <v>C</v>
      </c>
      <c r="C8" s="53" t="n">
        <v>46250</v>
      </c>
      <c r="D8" s="21" t="s">
        <v>162</v>
      </c>
      <c r="E8" s="0" t="str">
        <f aca="false">INDEX('シフト表(2026年8月)'!$D$2:$AH$16,MATCH($A8,'シフト表(2026年8月)'!$A$2:$A$16,0),MATCH($C8,'シフト表(2026年8月)'!$D$1:$AH$1,0))</f>
        <v>夜</v>
      </c>
      <c r="F8" s="21" t="n">
        <f aca="false">SUMIFS(メンバーデータ!$O:$O,メンバーデータ!$B:$B,B8)-VLOOKUP(A8,メンバーデータ!$A:$O,15,FALSE())</f>
        <v>2</v>
      </c>
      <c r="G8" s="0" t="str">
        <f aca="false">IF(F8&gt;=2,"バックアップ不要",IF(F8=1,"要注意(イベント時はバックアップ検討)","バックアップ出動が必要"))</f>
        <v>バックアップ不要</v>
      </c>
      <c r="H8" s="47" t="n">
        <v>46239</v>
      </c>
      <c r="I8" s="52" t="s">
        <v>167</v>
      </c>
      <c r="J8" s="6" t="s">
        <v>170</v>
      </c>
      <c r="K8" s="0" t="n">
        <v>3</v>
      </c>
      <c r="L8" s="6" t="s">
        <v>171</v>
      </c>
    </row>
    <row r="9" customFormat="false" ht="32.8" hidden="false" customHeight="false" outlineLevel="0" collapsed="false">
      <c r="A9" s="20" t="s">
        <v>133</v>
      </c>
      <c r="B9" s="0" t="str">
        <f aca="false">VLOOKUP(A9,メンバーデータ!$A:$B,2,FALSE())</f>
        <v>C</v>
      </c>
      <c r="C9" s="46" t="n">
        <v>46251</v>
      </c>
      <c r="D9" s="21" t="s">
        <v>162</v>
      </c>
      <c r="E9" s="0" t="str">
        <f aca="false">INDEX('シフト表(2026年8月)'!$D$2:$AH$16,MATCH($A9,'シフト表(2026年8月)'!$A$2:$A$16,0),MATCH($C9,'シフト表(2026年8月)'!$D$1:$AH$1,0))</f>
        <v>明</v>
      </c>
      <c r="F9" s="21" t="n">
        <f aca="false">SUMIFS(メンバーデータ!$O:$O,メンバーデータ!$B:$B,B9)-VLOOKUP(A9,メンバーデータ!$A:$O,15,FALSE())</f>
        <v>2</v>
      </c>
      <c r="G9" s="0" t="str">
        <f aca="false">IF(F9&gt;=2,"バックアップ不要",IF(F9=1,"要注意(イベント時はバックアップ検討)","バックアップ出動が必要"))</f>
        <v>バックアップ不要</v>
      </c>
      <c r="H9" s="47" t="n">
        <v>46239</v>
      </c>
      <c r="I9" s="52" t="s">
        <v>167</v>
      </c>
      <c r="J9" s="6" t="s">
        <v>172</v>
      </c>
      <c r="K9" s="0" t="n">
        <v>0</v>
      </c>
      <c r="L9" s="6" t="s">
        <v>165</v>
      </c>
    </row>
    <row r="11" customFormat="false" ht="15" hidden="false" customHeight="false" outlineLevel="0" collapsed="false">
      <c r="A11" s="54" t="s">
        <v>173</v>
      </c>
    </row>
    <row r="12" customFormat="false" ht="15" hidden="false" customHeight="false" outlineLevel="0" collapsed="false">
      <c r="A12" s="54" t="s">
        <v>174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45"/>
  </cols>
  <sheetData>
    <row r="1" customFormat="false" ht="19.7" hidden="false" customHeight="false" outlineLevel="0" collapsed="false">
      <c r="A1" s="1" t="s">
        <v>175</v>
      </c>
      <c r="B1" s="1"/>
      <c r="C1" s="1"/>
      <c r="D1" s="1"/>
    </row>
    <row r="2" customFormat="false" ht="15" hidden="false" customHeight="false" outlineLevel="0" collapsed="false">
      <c r="A2" s="55" t="s">
        <v>176</v>
      </c>
      <c r="B2" s="55"/>
      <c r="C2" s="55"/>
      <c r="D2" s="55"/>
    </row>
    <row r="4" customFormat="false" ht="17.15" hidden="false" customHeight="false" outlineLevel="0" collapsed="false">
      <c r="A4" s="13" t="s">
        <v>177</v>
      </c>
    </row>
    <row r="5" customFormat="false" ht="15" hidden="false" customHeight="false" outlineLevel="0" collapsed="false">
      <c r="A5" s="20" t="s">
        <v>178</v>
      </c>
      <c r="B5" s="13" t="s">
        <v>179</v>
      </c>
    </row>
    <row r="6" customFormat="false" ht="17.15" hidden="false" customHeight="false" outlineLevel="0" collapsed="false">
      <c r="A6" s="20" t="s">
        <v>180</v>
      </c>
      <c r="B6" s="56" t="s">
        <v>181</v>
      </c>
    </row>
    <row r="7" customFormat="false" ht="17.15" hidden="false" customHeight="false" outlineLevel="0" collapsed="false">
      <c r="A7" s="20" t="s">
        <v>182</v>
      </c>
      <c r="B7" s="56" t="s">
        <v>183</v>
      </c>
    </row>
    <row r="9" customFormat="false" ht="17.15" hidden="false" customHeight="false" outlineLevel="0" collapsed="false">
      <c r="A9" s="13" t="s">
        <v>184</v>
      </c>
    </row>
    <row r="10" customFormat="false" ht="17.15" hidden="false" customHeight="false" outlineLevel="0" collapsed="false">
      <c r="A10" s="57" t="s">
        <v>185</v>
      </c>
      <c r="B10" s="57"/>
      <c r="C10" s="57"/>
      <c r="D10" s="57"/>
    </row>
    <row r="11" customFormat="false" ht="17.15" hidden="false" customHeight="false" outlineLevel="0" collapsed="false">
      <c r="A11" s="57" t="s">
        <v>186</v>
      </c>
      <c r="B11" s="57"/>
      <c r="C11" s="57"/>
      <c r="D11" s="57"/>
    </row>
    <row r="12" customFormat="false" ht="17.15" hidden="false" customHeight="false" outlineLevel="0" collapsed="false">
      <c r="A12" s="57" t="s">
        <v>187</v>
      </c>
      <c r="B12" s="57"/>
      <c r="C12" s="57"/>
      <c r="D12" s="57"/>
    </row>
    <row r="13" customFormat="false" ht="17.15" hidden="false" customHeight="false" outlineLevel="0" collapsed="false">
      <c r="A13" s="57" t="s">
        <v>188</v>
      </c>
      <c r="B13" s="57"/>
      <c r="C13" s="57"/>
      <c r="D13" s="57"/>
    </row>
    <row r="14" customFormat="false" ht="17.15" hidden="false" customHeight="false" outlineLevel="0" collapsed="false">
      <c r="A14" s="57" t="s">
        <v>189</v>
      </c>
      <c r="B14" s="57"/>
      <c r="C14" s="57"/>
      <c r="D14" s="57"/>
    </row>
    <row r="16" customFormat="false" ht="17.15" hidden="false" customHeight="false" outlineLevel="0" collapsed="false">
      <c r="A16" s="13" t="s">
        <v>190</v>
      </c>
    </row>
    <row r="17" customFormat="false" ht="15" hidden="false" customHeight="false" outlineLevel="0" collapsed="false">
      <c r="A17" s="15" t="s">
        <v>115</v>
      </c>
      <c r="B17" s="15" t="s">
        <v>90</v>
      </c>
      <c r="C17" s="15" t="s">
        <v>191</v>
      </c>
      <c r="D17" s="15" t="s">
        <v>192</v>
      </c>
      <c r="E17" s="15" t="s">
        <v>193</v>
      </c>
    </row>
    <row r="18" customFormat="false" ht="15" hidden="false" customHeight="false" outlineLevel="0" collapsed="false">
      <c r="A18" s="20" t="s">
        <v>117</v>
      </c>
      <c r="B18" s="0" t="s">
        <v>93</v>
      </c>
      <c r="C18" s="0" t="s">
        <v>194</v>
      </c>
      <c r="D18" s="0" t="n">
        <v>48</v>
      </c>
      <c r="E18" s="0" t="n">
        <v>40</v>
      </c>
    </row>
    <row r="19" customFormat="false" ht="15" hidden="false" customHeight="false" outlineLevel="0" collapsed="false">
      <c r="A19" s="20" t="s">
        <v>117</v>
      </c>
      <c r="B19" s="0" t="s">
        <v>93</v>
      </c>
      <c r="C19" s="0" t="s">
        <v>195</v>
      </c>
      <c r="D19" s="0" t="n">
        <v>56</v>
      </c>
      <c r="E19" s="0" t="n">
        <v>40</v>
      </c>
    </row>
    <row r="20" customFormat="false" ht="15" hidden="false" customHeight="false" outlineLevel="0" collapsed="false">
      <c r="A20" s="20" t="s">
        <v>124</v>
      </c>
      <c r="B20" s="0" t="s">
        <v>94</v>
      </c>
      <c r="C20" s="0" t="s">
        <v>196</v>
      </c>
      <c r="D20" s="0" t="n">
        <v>48</v>
      </c>
      <c r="E20" s="0" t="n">
        <v>40</v>
      </c>
    </row>
    <row r="21" customFormat="false" ht="15" hidden="false" customHeight="false" outlineLevel="0" collapsed="false">
      <c r="A21" s="20" t="s">
        <v>124</v>
      </c>
      <c r="B21" s="0" t="s">
        <v>94</v>
      </c>
      <c r="C21" s="0" t="s">
        <v>195</v>
      </c>
      <c r="D21" s="0" t="n">
        <v>48</v>
      </c>
      <c r="E21" s="0" t="n">
        <v>40</v>
      </c>
    </row>
    <row r="22" customFormat="false" ht="15" hidden="false" customHeight="false" outlineLevel="0" collapsed="false">
      <c r="A22" s="20" t="s">
        <v>125</v>
      </c>
      <c r="B22" s="0" t="s">
        <v>95</v>
      </c>
      <c r="C22" s="0" t="s">
        <v>196</v>
      </c>
      <c r="D22" s="0" t="n">
        <v>56</v>
      </c>
      <c r="E22" s="0" t="n">
        <v>40</v>
      </c>
    </row>
    <row r="23" customFormat="false" ht="15" hidden="false" customHeight="false" outlineLevel="0" collapsed="false">
      <c r="A23" s="20" t="s">
        <v>125</v>
      </c>
      <c r="B23" s="0" t="s">
        <v>95</v>
      </c>
      <c r="C23" s="0" t="s">
        <v>197</v>
      </c>
      <c r="D23" s="0" t="n">
        <v>48</v>
      </c>
      <c r="E23" s="0" t="n">
        <v>40</v>
      </c>
    </row>
    <row r="24" customFormat="false" ht="15" hidden="false" customHeight="false" outlineLevel="0" collapsed="false">
      <c r="A24" s="20" t="s">
        <v>126</v>
      </c>
      <c r="B24" s="0" t="s">
        <v>93</v>
      </c>
      <c r="C24" s="0" t="s">
        <v>194</v>
      </c>
      <c r="D24" s="0" t="n">
        <v>48</v>
      </c>
      <c r="E24" s="0" t="n">
        <v>40</v>
      </c>
    </row>
    <row r="25" customFormat="false" ht="15" hidden="false" customHeight="false" outlineLevel="0" collapsed="false">
      <c r="A25" s="20" t="s">
        <v>126</v>
      </c>
      <c r="B25" s="0" t="s">
        <v>93</v>
      </c>
      <c r="C25" s="0" t="s">
        <v>195</v>
      </c>
      <c r="D25" s="0" t="n">
        <v>56</v>
      </c>
      <c r="E25" s="0" t="n">
        <v>40</v>
      </c>
    </row>
    <row r="26" customFormat="false" ht="15" hidden="false" customHeight="false" outlineLevel="0" collapsed="false">
      <c r="A26" s="20" t="s">
        <v>128</v>
      </c>
      <c r="B26" s="0" t="s">
        <v>94</v>
      </c>
      <c r="C26" s="0" t="s">
        <v>196</v>
      </c>
      <c r="D26" s="0" t="n">
        <v>48</v>
      </c>
      <c r="E26" s="0" t="n">
        <v>40</v>
      </c>
    </row>
    <row r="27" customFormat="false" ht="15" hidden="false" customHeight="false" outlineLevel="0" collapsed="false">
      <c r="A27" s="20" t="s">
        <v>128</v>
      </c>
      <c r="B27" s="0" t="s">
        <v>94</v>
      </c>
      <c r="C27" s="0" t="s">
        <v>195</v>
      </c>
      <c r="D27" s="0" t="n">
        <v>48</v>
      </c>
      <c r="E27" s="0" t="n">
        <v>40</v>
      </c>
    </row>
    <row r="28" customFormat="false" ht="15" hidden="false" customHeight="false" outlineLevel="0" collapsed="false">
      <c r="A28" s="20" t="s">
        <v>129</v>
      </c>
      <c r="B28" s="0" t="s">
        <v>95</v>
      </c>
      <c r="C28" s="0" t="s">
        <v>196</v>
      </c>
      <c r="D28" s="0" t="n">
        <v>56</v>
      </c>
      <c r="E28" s="0" t="n">
        <v>40</v>
      </c>
    </row>
    <row r="29" customFormat="false" ht="15" hidden="false" customHeight="false" outlineLevel="0" collapsed="false">
      <c r="A29" s="20" t="s">
        <v>129</v>
      </c>
      <c r="B29" s="0" t="s">
        <v>95</v>
      </c>
      <c r="C29" s="0" t="s">
        <v>197</v>
      </c>
      <c r="D29" s="0" t="n">
        <v>48</v>
      </c>
      <c r="E29" s="0" t="n">
        <v>40</v>
      </c>
    </row>
    <row r="30" customFormat="false" ht="15" hidden="false" customHeight="false" outlineLevel="0" collapsed="false">
      <c r="A30" s="20" t="s">
        <v>130</v>
      </c>
      <c r="B30" s="0" t="s">
        <v>96</v>
      </c>
      <c r="C30" s="0" t="s">
        <v>194</v>
      </c>
      <c r="D30" s="0" t="n">
        <v>48</v>
      </c>
      <c r="E30" s="0" t="n">
        <v>40</v>
      </c>
    </row>
    <row r="31" customFormat="false" ht="15" hidden="false" customHeight="false" outlineLevel="0" collapsed="false">
      <c r="A31" s="20" t="s">
        <v>130</v>
      </c>
      <c r="B31" s="0" t="s">
        <v>96</v>
      </c>
      <c r="C31" s="0" t="s">
        <v>196</v>
      </c>
      <c r="D31" s="0" t="n">
        <v>48</v>
      </c>
      <c r="E31" s="0" t="n">
        <v>40</v>
      </c>
    </row>
    <row r="32" customFormat="false" ht="15" hidden="false" customHeight="false" outlineLevel="0" collapsed="false">
      <c r="A32" s="20" t="s">
        <v>130</v>
      </c>
      <c r="B32" s="0" t="s">
        <v>96</v>
      </c>
      <c r="C32" s="0" t="s">
        <v>197</v>
      </c>
      <c r="D32" s="0" t="n">
        <v>56</v>
      </c>
      <c r="E32" s="0" t="n">
        <v>40</v>
      </c>
    </row>
    <row r="33" customFormat="false" ht="15" hidden="false" customHeight="false" outlineLevel="0" collapsed="false">
      <c r="A33" s="20" t="s">
        <v>131</v>
      </c>
      <c r="B33" s="0" t="s">
        <v>93</v>
      </c>
      <c r="C33" s="0" t="s">
        <v>194</v>
      </c>
      <c r="D33" s="0" t="n">
        <v>48</v>
      </c>
      <c r="E33" s="0" t="n">
        <v>40</v>
      </c>
    </row>
    <row r="34" customFormat="false" ht="15" hidden="false" customHeight="false" outlineLevel="0" collapsed="false">
      <c r="A34" s="20" t="s">
        <v>131</v>
      </c>
      <c r="B34" s="0" t="s">
        <v>93</v>
      </c>
      <c r="C34" s="0" t="s">
        <v>195</v>
      </c>
      <c r="D34" s="0" t="n">
        <v>56</v>
      </c>
      <c r="E34" s="0" t="n">
        <v>40</v>
      </c>
    </row>
    <row r="35" customFormat="false" ht="15" hidden="false" customHeight="false" outlineLevel="0" collapsed="false">
      <c r="A35" s="20" t="s">
        <v>133</v>
      </c>
      <c r="B35" s="0" t="s">
        <v>95</v>
      </c>
      <c r="C35" s="0" t="s">
        <v>196</v>
      </c>
      <c r="D35" s="0" t="n">
        <v>56</v>
      </c>
      <c r="E35" s="0" t="n">
        <v>40</v>
      </c>
    </row>
    <row r="36" customFormat="false" ht="15" hidden="false" customHeight="false" outlineLevel="0" collapsed="false">
      <c r="A36" s="20" t="s">
        <v>133</v>
      </c>
      <c r="B36" s="0" t="s">
        <v>95</v>
      </c>
      <c r="C36" s="0" t="s">
        <v>197</v>
      </c>
      <c r="D36" s="0" t="n">
        <v>48</v>
      </c>
      <c r="E36" s="0" t="n">
        <v>40</v>
      </c>
    </row>
    <row r="37" customFormat="false" ht="15" hidden="false" customHeight="false" outlineLevel="0" collapsed="false">
      <c r="A37" s="20" t="s">
        <v>134</v>
      </c>
      <c r="B37" s="0" t="s">
        <v>96</v>
      </c>
      <c r="C37" s="0" t="s">
        <v>194</v>
      </c>
      <c r="D37" s="0" t="n">
        <v>48</v>
      </c>
      <c r="E37" s="0" t="n">
        <v>40</v>
      </c>
    </row>
    <row r="38" customFormat="false" ht="15" hidden="false" customHeight="false" outlineLevel="0" collapsed="false">
      <c r="A38" s="20" t="s">
        <v>134</v>
      </c>
      <c r="B38" s="0" t="s">
        <v>96</v>
      </c>
      <c r="C38" s="0" t="s">
        <v>196</v>
      </c>
      <c r="D38" s="0" t="n">
        <v>48</v>
      </c>
      <c r="E38" s="0" t="n">
        <v>40</v>
      </c>
    </row>
    <row r="39" customFormat="false" ht="15" hidden="false" customHeight="false" outlineLevel="0" collapsed="false">
      <c r="A39" s="20" t="s">
        <v>134</v>
      </c>
      <c r="B39" s="0" t="s">
        <v>96</v>
      </c>
      <c r="C39" s="0" t="s">
        <v>197</v>
      </c>
      <c r="D39" s="0" t="n">
        <v>56</v>
      </c>
      <c r="E39" s="0" t="n">
        <v>40</v>
      </c>
    </row>
    <row r="40" customFormat="false" ht="15" hidden="false" customHeight="false" outlineLevel="0" collapsed="false">
      <c r="A40" s="20" t="s">
        <v>136</v>
      </c>
      <c r="B40" s="0" t="s">
        <v>97</v>
      </c>
      <c r="C40" s="0" t="s">
        <v>194</v>
      </c>
      <c r="D40" s="0" t="n">
        <v>56</v>
      </c>
      <c r="E40" s="0" t="n">
        <v>40</v>
      </c>
    </row>
    <row r="41" customFormat="false" ht="15" hidden="false" customHeight="false" outlineLevel="0" collapsed="false">
      <c r="A41" s="20" t="s">
        <v>136</v>
      </c>
      <c r="B41" s="0" t="s">
        <v>97</v>
      </c>
      <c r="C41" s="0" t="s">
        <v>195</v>
      </c>
      <c r="D41" s="0" t="n">
        <v>48</v>
      </c>
      <c r="E41" s="0" t="n">
        <v>40</v>
      </c>
    </row>
    <row r="42" customFormat="false" ht="15" hidden="false" customHeight="false" outlineLevel="0" collapsed="false">
      <c r="A42" s="20" t="s">
        <v>136</v>
      </c>
      <c r="B42" s="0" t="s">
        <v>97</v>
      </c>
      <c r="C42" s="0" t="s">
        <v>197</v>
      </c>
      <c r="D42" s="0" t="n">
        <v>48</v>
      </c>
      <c r="E42" s="0" t="n">
        <v>40</v>
      </c>
    </row>
    <row r="43" customFormat="false" ht="15" hidden="false" customHeight="false" outlineLevel="0" collapsed="false">
      <c r="A43" s="20" t="s">
        <v>137</v>
      </c>
      <c r="B43" s="0" t="s">
        <v>94</v>
      </c>
      <c r="C43" s="0" t="s">
        <v>196</v>
      </c>
      <c r="D43" s="0" t="n">
        <v>48</v>
      </c>
      <c r="E43" s="0" t="n">
        <v>40</v>
      </c>
    </row>
    <row r="44" customFormat="false" ht="15" hidden="false" customHeight="false" outlineLevel="0" collapsed="false">
      <c r="A44" s="20" t="s">
        <v>137</v>
      </c>
      <c r="B44" s="0" t="s">
        <v>94</v>
      </c>
      <c r="C44" s="0" t="s">
        <v>195</v>
      </c>
      <c r="D44" s="0" t="n">
        <v>48</v>
      </c>
      <c r="E44" s="0" t="n">
        <v>40</v>
      </c>
    </row>
    <row r="45" customFormat="false" ht="15" hidden="false" customHeight="false" outlineLevel="0" collapsed="false">
      <c r="A45" s="20" t="s">
        <v>139</v>
      </c>
      <c r="B45" s="0" t="s">
        <v>96</v>
      </c>
      <c r="C45" s="0" t="s">
        <v>194</v>
      </c>
      <c r="D45" s="0" t="n">
        <v>48</v>
      </c>
      <c r="E45" s="0" t="n">
        <v>40</v>
      </c>
    </row>
    <row r="46" customFormat="false" ht="15" hidden="false" customHeight="false" outlineLevel="0" collapsed="false">
      <c r="A46" s="20" t="s">
        <v>139</v>
      </c>
      <c r="B46" s="0" t="s">
        <v>96</v>
      </c>
      <c r="C46" s="0" t="s">
        <v>196</v>
      </c>
      <c r="D46" s="0" t="n">
        <v>48</v>
      </c>
      <c r="E46" s="0" t="n">
        <v>40</v>
      </c>
    </row>
    <row r="47" customFormat="false" ht="15" hidden="false" customHeight="false" outlineLevel="0" collapsed="false">
      <c r="A47" s="20" t="s">
        <v>139</v>
      </c>
      <c r="B47" s="0" t="s">
        <v>96</v>
      </c>
      <c r="C47" s="0" t="s">
        <v>197</v>
      </c>
      <c r="D47" s="0" t="n">
        <v>56</v>
      </c>
      <c r="E47" s="0" t="n">
        <v>40</v>
      </c>
    </row>
    <row r="48" customFormat="false" ht="15" hidden="false" customHeight="false" outlineLevel="0" collapsed="false">
      <c r="A48" s="20" t="s">
        <v>140</v>
      </c>
      <c r="B48" s="0" t="s">
        <v>97</v>
      </c>
      <c r="C48" s="0" t="s">
        <v>194</v>
      </c>
      <c r="D48" s="0" t="n">
        <v>56</v>
      </c>
      <c r="E48" s="0" t="n">
        <v>40</v>
      </c>
    </row>
    <row r="49" customFormat="false" ht="15" hidden="false" customHeight="false" outlineLevel="0" collapsed="false">
      <c r="A49" s="20" t="s">
        <v>140</v>
      </c>
      <c r="B49" s="0" t="s">
        <v>97</v>
      </c>
      <c r="C49" s="0" t="s">
        <v>195</v>
      </c>
      <c r="D49" s="0" t="n">
        <v>48</v>
      </c>
      <c r="E49" s="0" t="n">
        <v>40</v>
      </c>
    </row>
    <row r="50" customFormat="false" ht="15" hidden="false" customHeight="false" outlineLevel="0" collapsed="false">
      <c r="A50" s="20" t="s">
        <v>140</v>
      </c>
      <c r="B50" s="0" t="s">
        <v>97</v>
      </c>
      <c r="C50" s="0" t="s">
        <v>197</v>
      </c>
      <c r="D50" s="0" t="n">
        <v>48</v>
      </c>
      <c r="E50" s="0" t="n">
        <v>40</v>
      </c>
    </row>
    <row r="51" customFormat="false" ht="15" hidden="false" customHeight="false" outlineLevel="0" collapsed="false">
      <c r="A51" s="20" t="s">
        <v>141</v>
      </c>
      <c r="B51" s="0" t="s">
        <v>97</v>
      </c>
      <c r="C51" s="0" t="s">
        <v>194</v>
      </c>
      <c r="D51" s="0" t="n">
        <v>56</v>
      </c>
      <c r="E51" s="0" t="n">
        <v>40</v>
      </c>
    </row>
    <row r="52" customFormat="false" ht="15" hidden="false" customHeight="false" outlineLevel="0" collapsed="false">
      <c r="A52" s="20" t="s">
        <v>141</v>
      </c>
      <c r="B52" s="0" t="s">
        <v>97</v>
      </c>
      <c r="C52" s="0" t="s">
        <v>195</v>
      </c>
      <c r="D52" s="0" t="n">
        <v>48</v>
      </c>
      <c r="E52" s="0" t="n">
        <v>40</v>
      </c>
    </row>
    <row r="53" customFormat="false" ht="15" hidden="false" customHeight="false" outlineLevel="0" collapsed="false">
      <c r="A53" s="20" t="s">
        <v>141</v>
      </c>
      <c r="B53" s="0" t="s">
        <v>97</v>
      </c>
      <c r="C53" s="0" t="s">
        <v>197</v>
      </c>
      <c r="D53" s="0" t="n">
        <v>48</v>
      </c>
      <c r="E53" s="0" t="n">
        <v>40</v>
      </c>
    </row>
    <row r="55" customFormat="false" ht="49.5" hidden="false" customHeight="true" outlineLevel="0" collapsed="false">
      <c r="A55" s="58" t="s">
        <v>198</v>
      </c>
      <c r="B55" s="58"/>
      <c r="C55" s="58"/>
      <c r="D55" s="58"/>
    </row>
    <row r="56" customFormat="false" ht="15" hidden="false" customHeight="false" outlineLevel="0" collapsed="false">
      <c r="A56" s="58"/>
      <c r="B56" s="58"/>
      <c r="C56" s="58"/>
      <c r="D56" s="58"/>
    </row>
    <row r="57" customFormat="false" ht="15" hidden="false" customHeight="false" outlineLevel="0" collapsed="false">
      <c r="A57" s="58"/>
      <c r="B57" s="58"/>
      <c r="C57" s="58"/>
      <c r="D57" s="58"/>
    </row>
    <row r="59" customFormat="false" ht="17.15" hidden="false" customHeight="false" outlineLevel="0" collapsed="false">
      <c r="A59" s="13" t="s">
        <v>199</v>
      </c>
    </row>
    <row r="60" customFormat="false" ht="15" hidden="false" customHeight="false" outlineLevel="0" collapsed="false">
      <c r="A60" s="15" t="s">
        <v>200</v>
      </c>
      <c r="B60" s="15" t="s">
        <v>201</v>
      </c>
    </row>
    <row r="61" customFormat="false" ht="31.5" hidden="false" customHeight="true" outlineLevel="0" collapsed="false">
      <c r="A61" s="56" t="s">
        <v>202</v>
      </c>
      <c r="B61" s="59" t="s">
        <v>203</v>
      </c>
      <c r="C61" s="59"/>
      <c r="D61" s="59"/>
    </row>
    <row r="62" customFormat="false" ht="31.5" hidden="false" customHeight="true" outlineLevel="0" collapsed="false">
      <c r="A62" s="56" t="s">
        <v>204</v>
      </c>
      <c r="B62" s="59" t="s">
        <v>205</v>
      </c>
      <c r="C62" s="59"/>
      <c r="D62" s="59"/>
    </row>
    <row r="63" customFormat="false" ht="31.5" hidden="false" customHeight="true" outlineLevel="0" collapsed="false">
      <c r="A63" s="56" t="s">
        <v>206</v>
      </c>
      <c r="B63" s="59" t="s">
        <v>207</v>
      </c>
      <c r="C63" s="59"/>
      <c r="D63" s="59"/>
    </row>
    <row r="64" customFormat="false" ht="31.5" hidden="false" customHeight="true" outlineLevel="0" collapsed="false">
      <c r="A64" s="13" t="s">
        <v>208</v>
      </c>
      <c r="B64" s="59" t="s">
        <v>209</v>
      </c>
      <c r="C64" s="59"/>
      <c r="D64" s="59"/>
    </row>
    <row r="66" customFormat="false" ht="15" hidden="false" customHeight="true" outlineLevel="0" collapsed="false">
      <c r="A66" s="58" t="s">
        <v>210</v>
      </c>
      <c r="B66" s="58"/>
      <c r="C66" s="58"/>
      <c r="D66" s="58"/>
    </row>
    <row r="67" customFormat="false" ht="15" hidden="false" customHeight="false" outlineLevel="0" collapsed="false">
      <c r="A67" s="58"/>
      <c r="B67" s="58"/>
      <c r="C67" s="58"/>
      <c r="D67" s="58"/>
    </row>
  </sheetData>
  <mergeCells count="13">
    <mergeCell ref="A1:D1"/>
    <mergeCell ref="A2:D2"/>
    <mergeCell ref="A10:D10"/>
    <mergeCell ref="A11:D11"/>
    <mergeCell ref="A12:D12"/>
    <mergeCell ref="A13:D13"/>
    <mergeCell ref="A14:D14"/>
    <mergeCell ref="A55:D57"/>
    <mergeCell ref="B61:D61"/>
    <mergeCell ref="B62:D62"/>
    <mergeCell ref="B63:D63"/>
    <mergeCell ref="B64:D64"/>
    <mergeCell ref="A66:D6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5" min="2" style="0" width="34"/>
  </cols>
  <sheetData>
    <row r="1" customFormat="false" ht="19.7" hidden="false" customHeight="false" outlineLevel="0" collapsed="false">
      <c r="A1" s="1" t="s">
        <v>211</v>
      </c>
      <c r="B1" s="1"/>
      <c r="C1" s="1"/>
      <c r="D1" s="1"/>
      <c r="E1" s="1"/>
    </row>
    <row r="3" customFormat="false" ht="17.15" hidden="false" customHeight="false" outlineLevel="0" collapsed="false">
      <c r="A3" s="13" t="s">
        <v>212</v>
      </c>
      <c r="B3" s="0" t="n">
        <v>13</v>
      </c>
    </row>
    <row r="4" customFormat="false" ht="15" hidden="false" customHeight="false" outlineLevel="0" collapsed="false">
      <c r="A4" s="13" t="s">
        <v>213</v>
      </c>
      <c r="B4" s="0" t="n">
        <v>5</v>
      </c>
      <c r="C4" s="60" t="s">
        <v>214</v>
      </c>
    </row>
    <row r="6" customFormat="false" ht="17.15" hidden="false" customHeight="false" outlineLevel="0" collapsed="false">
      <c r="A6" s="9" t="s">
        <v>215</v>
      </c>
      <c r="B6" s="9" t="s">
        <v>216</v>
      </c>
      <c r="C6" s="9" t="s">
        <v>217</v>
      </c>
    </row>
    <row r="7" customFormat="false" ht="22.5" hidden="false" customHeight="true" outlineLevel="0" collapsed="false">
      <c r="A7" s="61" t="s">
        <v>117</v>
      </c>
      <c r="B7" s="7" t="s">
        <v>218</v>
      </c>
      <c r="C7" s="61" t="n">
        <v>1</v>
      </c>
    </row>
    <row r="8" customFormat="false" ht="22.5" hidden="false" customHeight="true" outlineLevel="0" collapsed="false">
      <c r="A8" s="61" t="s">
        <v>124</v>
      </c>
      <c r="B8" s="7" t="s">
        <v>219</v>
      </c>
      <c r="C8" s="61" t="n">
        <v>2</v>
      </c>
    </row>
    <row r="9" customFormat="false" ht="22.5" hidden="false" customHeight="true" outlineLevel="0" collapsed="false">
      <c r="A9" s="61" t="s">
        <v>125</v>
      </c>
      <c r="B9" s="7" t="s">
        <v>220</v>
      </c>
      <c r="C9" s="61" t="n">
        <v>2</v>
      </c>
    </row>
    <row r="10" customFormat="false" ht="37.5" hidden="false" customHeight="true" outlineLevel="0" collapsed="false">
      <c r="A10" s="61" t="s">
        <v>134</v>
      </c>
      <c r="B10" s="7" t="s">
        <v>221</v>
      </c>
      <c r="C10" s="61" t="n">
        <v>4</v>
      </c>
    </row>
    <row r="11" customFormat="false" ht="37.5" hidden="false" customHeight="true" outlineLevel="0" collapsed="false">
      <c r="A11" s="61" t="s">
        <v>136</v>
      </c>
      <c r="B11" s="7" t="s">
        <v>222</v>
      </c>
      <c r="C11" s="61" t="n">
        <v>4</v>
      </c>
    </row>
    <row r="14" customFormat="false" ht="17.15" hidden="false" customHeight="false" outlineLevel="0" collapsed="false">
      <c r="A14" s="13" t="s">
        <v>223</v>
      </c>
    </row>
    <row r="15" customFormat="false" ht="30" hidden="false" customHeight="true" outlineLevel="0" collapsed="false">
      <c r="A15" s="9" t="s">
        <v>224</v>
      </c>
      <c r="B15" s="9" t="s">
        <v>225</v>
      </c>
      <c r="C15" s="9" t="s">
        <v>226</v>
      </c>
      <c r="D15" s="9" t="s">
        <v>227</v>
      </c>
      <c r="E15" s="9" t="s">
        <v>228</v>
      </c>
    </row>
    <row r="16" customFormat="false" ht="87" hidden="false" customHeight="true" outlineLevel="0" collapsed="false">
      <c r="A16" s="62" t="s">
        <v>229</v>
      </c>
      <c r="B16" s="6" t="s">
        <v>230</v>
      </c>
      <c r="C16" s="6" t="s">
        <v>231</v>
      </c>
      <c r="D16" s="6" t="s">
        <v>232</v>
      </c>
      <c r="E16" s="6" t="s">
        <v>233</v>
      </c>
    </row>
    <row r="17" customFormat="false" ht="87" hidden="false" customHeight="true" outlineLevel="0" collapsed="false">
      <c r="A17" s="62" t="s">
        <v>234</v>
      </c>
      <c r="B17" s="6" t="s">
        <v>235</v>
      </c>
      <c r="C17" s="6" t="s">
        <v>236</v>
      </c>
      <c r="D17" s="6" t="s">
        <v>237</v>
      </c>
      <c r="E17" s="6" t="s">
        <v>238</v>
      </c>
    </row>
    <row r="18" customFormat="false" ht="87" hidden="false" customHeight="true" outlineLevel="0" collapsed="false">
      <c r="A18" s="62" t="s">
        <v>239</v>
      </c>
      <c r="B18" s="6" t="s">
        <v>235</v>
      </c>
      <c r="C18" s="6" t="s">
        <v>236</v>
      </c>
      <c r="D18" s="6" t="s">
        <v>237</v>
      </c>
      <c r="E18" s="6" t="s">
        <v>238</v>
      </c>
    </row>
    <row r="19" customFormat="false" ht="87" hidden="false" customHeight="true" outlineLevel="0" collapsed="false">
      <c r="A19" s="62" t="s">
        <v>240</v>
      </c>
      <c r="B19" s="6" t="s">
        <v>241</v>
      </c>
      <c r="C19" s="6" t="s">
        <v>242</v>
      </c>
      <c r="D19" s="6" t="s">
        <v>243</v>
      </c>
      <c r="E19" s="6" t="s">
        <v>244</v>
      </c>
    </row>
    <row r="20" customFormat="false" ht="87" hidden="false" customHeight="true" outlineLevel="0" collapsed="false">
      <c r="A20" s="62" t="s">
        <v>245</v>
      </c>
      <c r="B20" s="6" t="s">
        <v>241</v>
      </c>
      <c r="C20" s="6" t="s">
        <v>246</v>
      </c>
      <c r="D20" s="6" t="s">
        <v>243</v>
      </c>
      <c r="E20" s="6" t="s">
        <v>247</v>
      </c>
    </row>
    <row r="21" customFormat="false" ht="87" hidden="false" customHeight="true" outlineLevel="0" collapsed="false">
      <c r="A21" s="62" t="s">
        <v>248</v>
      </c>
      <c r="B21" s="6" t="s">
        <v>249</v>
      </c>
      <c r="C21" s="6" t="s">
        <v>250</v>
      </c>
      <c r="D21" s="6" t="s">
        <v>251</v>
      </c>
      <c r="E21" s="6" t="s">
        <v>252</v>
      </c>
    </row>
    <row r="22" customFormat="false" ht="87" hidden="false" customHeight="true" outlineLevel="0" collapsed="false">
      <c r="A22" s="62" t="s">
        <v>253</v>
      </c>
      <c r="B22" s="6" t="s">
        <v>254</v>
      </c>
      <c r="C22" s="6" t="s">
        <v>255</v>
      </c>
      <c r="D22" s="6" t="s">
        <v>251</v>
      </c>
      <c r="E22" s="6" t="s">
        <v>252</v>
      </c>
    </row>
    <row r="23" customFormat="false" ht="87" hidden="false" customHeight="true" outlineLevel="0" collapsed="false">
      <c r="A23" s="62" t="s">
        <v>256</v>
      </c>
      <c r="B23" s="6" t="s">
        <v>249</v>
      </c>
      <c r="C23" s="6" t="s">
        <v>257</v>
      </c>
      <c r="D23" s="6" t="s">
        <v>251</v>
      </c>
      <c r="E23" s="6" t="s">
        <v>258</v>
      </c>
    </row>
    <row r="24" customFormat="false" ht="87" hidden="false" customHeight="true" outlineLevel="0" collapsed="false">
      <c r="A24" s="62" t="s">
        <v>259</v>
      </c>
      <c r="B24" s="6" t="s">
        <v>254</v>
      </c>
      <c r="C24" s="6" t="s">
        <v>255</v>
      </c>
      <c r="D24" s="6" t="s">
        <v>251</v>
      </c>
      <c r="E24" s="6" t="s">
        <v>252</v>
      </c>
    </row>
    <row r="25" customFormat="false" ht="87" hidden="false" customHeight="true" outlineLevel="0" collapsed="false">
      <c r="A25" s="62" t="s">
        <v>260</v>
      </c>
      <c r="B25" s="6" t="s">
        <v>261</v>
      </c>
      <c r="C25" s="6" t="s">
        <v>262</v>
      </c>
      <c r="D25" s="6" t="s">
        <v>263</v>
      </c>
      <c r="E25" s="6" t="s">
        <v>264</v>
      </c>
    </row>
    <row r="26" customFormat="false" ht="87" hidden="false" customHeight="true" outlineLevel="0" collapsed="false">
      <c r="A26" s="62" t="s">
        <v>265</v>
      </c>
      <c r="B26" s="6" t="s">
        <v>261</v>
      </c>
      <c r="C26" s="6" t="s">
        <v>266</v>
      </c>
      <c r="D26" s="6" t="s">
        <v>263</v>
      </c>
      <c r="E26" s="6" t="s">
        <v>264</v>
      </c>
    </row>
    <row r="27" customFormat="false" ht="87" hidden="false" customHeight="true" outlineLevel="0" collapsed="false">
      <c r="A27" s="62" t="s">
        <v>267</v>
      </c>
      <c r="B27" s="6" t="s">
        <v>268</v>
      </c>
      <c r="C27" s="6" t="s">
        <v>269</v>
      </c>
      <c r="D27" s="6" t="s">
        <v>263</v>
      </c>
      <c r="E27" s="6" t="s">
        <v>270</v>
      </c>
    </row>
    <row r="28" customFormat="false" ht="87" hidden="false" customHeight="true" outlineLevel="0" collapsed="false">
      <c r="A28" s="62" t="s">
        <v>271</v>
      </c>
      <c r="B28" s="6" t="s">
        <v>261</v>
      </c>
      <c r="C28" s="6" t="s">
        <v>266</v>
      </c>
      <c r="D28" s="6" t="s">
        <v>263</v>
      </c>
      <c r="E28" s="6" t="s">
        <v>264</v>
      </c>
    </row>
    <row r="30" customFormat="false" ht="39.75" hidden="false" customHeight="true" outlineLevel="0" collapsed="false">
      <c r="A30" s="63" t="s">
        <v>272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5" min="1" style="0" width="14"/>
  </cols>
  <sheetData>
    <row r="1" customFormat="false" ht="17.15" hidden="false" customHeight="false" outlineLevel="0" collapsed="false">
      <c r="A1" s="15" t="s">
        <v>115</v>
      </c>
      <c r="B1" s="15" t="s">
        <v>90</v>
      </c>
      <c r="C1" s="15" t="s">
        <v>116</v>
      </c>
      <c r="D1" s="15" t="s">
        <v>273</v>
      </c>
      <c r="E1" s="15" t="s">
        <v>274</v>
      </c>
      <c r="F1" s="15" t="s">
        <v>275</v>
      </c>
      <c r="G1" s="15" t="s">
        <v>276</v>
      </c>
      <c r="H1" s="15" t="s">
        <v>277</v>
      </c>
      <c r="I1" s="15" t="s">
        <v>278</v>
      </c>
      <c r="J1" s="15" t="s">
        <v>279</v>
      </c>
      <c r="K1" s="15" t="s">
        <v>280</v>
      </c>
      <c r="L1" s="15" t="s">
        <v>281</v>
      </c>
      <c r="M1" s="15" t="s">
        <v>282</v>
      </c>
      <c r="N1" s="15" t="s">
        <v>283</v>
      </c>
      <c r="O1" s="15" t="s">
        <v>284</v>
      </c>
    </row>
    <row r="2" customFormat="false" ht="17.15" hidden="false" customHeight="false" outlineLevel="0" collapsed="false">
      <c r="A2" s="20" t="s">
        <v>117</v>
      </c>
      <c r="B2" s="0" t="s">
        <v>93</v>
      </c>
      <c r="C2" s="20" t="s">
        <v>118</v>
      </c>
      <c r="D2" s="0" t="n">
        <v>118</v>
      </c>
      <c r="E2" s="20" t="s">
        <v>285</v>
      </c>
      <c r="F2" s="20" t="s">
        <v>286</v>
      </c>
      <c r="G2" s="20" t="s">
        <v>286</v>
      </c>
      <c r="H2" s="20" t="s">
        <v>287</v>
      </c>
      <c r="I2" s="20" t="s">
        <v>286</v>
      </c>
      <c r="J2" s="20" t="s">
        <v>288</v>
      </c>
      <c r="K2" s="0" t="n">
        <f aca="false">VLOOKUP(F2,段階マップ!$A:$B,2,FALSE())</f>
        <v>4</v>
      </c>
      <c r="L2" s="0" t="n">
        <f aca="false">VLOOKUP(G2,段階マップ!$A:$B,2,FALSE())</f>
        <v>4</v>
      </c>
      <c r="M2" s="0" t="n">
        <f aca="false">VLOOKUP(H2,段階マップ!$A:$B,2,FALSE())</f>
        <v>2</v>
      </c>
      <c r="N2" s="0" t="n">
        <f aca="false">VLOOKUP(I2,段階マップ!$A:$B,2,FALSE())</f>
        <v>4</v>
      </c>
      <c r="O2" s="0" t="n">
        <f aca="false">IF(MAX(K2:N2)&gt;=2,1,0)</f>
        <v>1</v>
      </c>
    </row>
    <row r="3" customFormat="false" ht="17.15" hidden="false" customHeight="false" outlineLevel="0" collapsed="false">
      <c r="A3" s="20" t="s">
        <v>124</v>
      </c>
      <c r="B3" s="0" t="s">
        <v>94</v>
      </c>
      <c r="C3" s="20" t="s">
        <v>118</v>
      </c>
      <c r="D3" s="0" t="n">
        <v>104</v>
      </c>
      <c r="E3" s="20" t="s">
        <v>289</v>
      </c>
      <c r="F3" s="20" t="s">
        <v>286</v>
      </c>
      <c r="G3" s="20" t="s">
        <v>287</v>
      </c>
      <c r="H3" s="20" t="s">
        <v>286</v>
      </c>
      <c r="I3" s="20" t="s">
        <v>287</v>
      </c>
      <c r="J3" s="20" t="s">
        <v>290</v>
      </c>
      <c r="K3" s="0" t="n">
        <f aca="false">VLOOKUP(F3,段階マップ!$A:$B,2,FALSE())</f>
        <v>4</v>
      </c>
      <c r="L3" s="0" t="n">
        <f aca="false">VLOOKUP(G3,段階マップ!$A:$B,2,FALSE())</f>
        <v>2</v>
      </c>
      <c r="M3" s="0" t="n">
        <f aca="false">VLOOKUP(H3,段階マップ!$A:$B,2,FALSE())</f>
        <v>4</v>
      </c>
      <c r="N3" s="0" t="n">
        <f aca="false">VLOOKUP(I3,段階マップ!$A:$B,2,FALSE())</f>
        <v>2</v>
      </c>
      <c r="O3" s="0" t="n">
        <f aca="false">IF(MAX(K3:N3)&gt;=2,1,0)</f>
        <v>1</v>
      </c>
    </row>
    <row r="4" customFormat="false" ht="17.15" hidden="false" customHeight="false" outlineLevel="0" collapsed="false">
      <c r="A4" s="20" t="s">
        <v>125</v>
      </c>
      <c r="B4" s="0" t="s">
        <v>95</v>
      </c>
      <c r="C4" s="20" t="s">
        <v>118</v>
      </c>
      <c r="D4" s="0" t="n">
        <v>96</v>
      </c>
      <c r="E4" s="20" t="s">
        <v>291</v>
      </c>
      <c r="F4" s="20" t="s">
        <v>287</v>
      </c>
      <c r="G4" s="20" t="s">
        <v>286</v>
      </c>
      <c r="H4" s="20" t="s">
        <v>287</v>
      </c>
      <c r="I4" s="20" t="s">
        <v>286</v>
      </c>
      <c r="J4" s="20" t="s">
        <v>292</v>
      </c>
      <c r="K4" s="0" t="n">
        <f aca="false">VLOOKUP(F4,段階マップ!$A:$B,2,FALSE())</f>
        <v>2</v>
      </c>
      <c r="L4" s="0" t="n">
        <f aca="false">VLOOKUP(G4,段階マップ!$A:$B,2,FALSE())</f>
        <v>4</v>
      </c>
      <c r="M4" s="0" t="n">
        <f aca="false">VLOOKUP(H4,段階マップ!$A:$B,2,FALSE())</f>
        <v>2</v>
      </c>
      <c r="N4" s="0" t="n">
        <f aca="false">VLOOKUP(I4,段階マップ!$A:$B,2,FALSE())</f>
        <v>4</v>
      </c>
      <c r="O4" s="0" t="n">
        <f aca="false">IF(MAX(K4:N4)&gt;=2,1,0)</f>
        <v>1</v>
      </c>
    </row>
    <row r="5" customFormat="false" ht="17.15" hidden="false" customHeight="false" outlineLevel="0" collapsed="false">
      <c r="A5" s="20" t="s">
        <v>126</v>
      </c>
      <c r="B5" s="0" t="s">
        <v>93</v>
      </c>
      <c r="C5" s="20" t="s">
        <v>127</v>
      </c>
      <c r="D5" s="0" t="n">
        <v>46</v>
      </c>
      <c r="E5" s="20" t="s">
        <v>293</v>
      </c>
      <c r="F5" s="20" t="s">
        <v>287</v>
      </c>
      <c r="G5" s="20" t="s">
        <v>287</v>
      </c>
      <c r="H5" s="20" t="s">
        <v>294</v>
      </c>
      <c r="I5" s="20" t="s">
        <v>287</v>
      </c>
      <c r="J5" s="20" t="s">
        <v>295</v>
      </c>
      <c r="K5" s="0" t="n">
        <f aca="false">VLOOKUP(F5,段階マップ!$A:$B,2,FALSE())</f>
        <v>2</v>
      </c>
      <c r="L5" s="0" t="n">
        <f aca="false">VLOOKUP(G5,段階マップ!$A:$B,2,FALSE())</f>
        <v>2</v>
      </c>
      <c r="M5" s="0" t="n">
        <f aca="false">VLOOKUP(H5,段階マップ!$A:$B,2,FALSE())</f>
        <v>1</v>
      </c>
      <c r="N5" s="0" t="n">
        <f aca="false">VLOOKUP(I5,段階マップ!$A:$B,2,FALSE())</f>
        <v>2</v>
      </c>
      <c r="O5" s="0" t="n">
        <f aca="false">IF(MAX(K5:N5)&gt;=2,1,0)</f>
        <v>1</v>
      </c>
    </row>
    <row r="6" customFormat="false" ht="17.15" hidden="false" customHeight="false" outlineLevel="0" collapsed="false">
      <c r="A6" s="20" t="s">
        <v>128</v>
      </c>
      <c r="B6" s="0" t="s">
        <v>94</v>
      </c>
      <c r="C6" s="20" t="s">
        <v>127</v>
      </c>
      <c r="D6" s="0" t="n">
        <v>41</v>
      </c>
      <c r="E6" s="20" t="s">
        <v>293</v>
      </c>
      <c r="F6" s="20" t="s">
        <v>287</v>
      </c>
      <c r="G6" s="20" t="s">
        <v>294</v>
      </c>
      <c r="H6" s="20" t="s">
        <v>287</v>
      </c>
      <c r="I6" s="20" t="s">
        <v>287</v>
      </c>
      <c r="J6" s="20" t="s">
        <v>295</v>
      </c>
      <c r="K6" s="0" t="n">
        <f aca="false">VLOOKUP(F6,段階マップ!$A:$B,2,FALSE())</f>
        <v>2</v>
      </c>
      <c r="L6" s="0" t="n">
        <f aca="false">VLOOKUP(G6,段階マップ!$A:$B,2,FALSE())</f>
        <v>1</v>
      </c>
      <c r="M6" s="0" t="n">
        <f aca="false">VLOOKUP(H6,段階マップ!$A:$B,2,FALSE())</f>
        <v>2</v>
      </c>
      <c r="N6" s="0" t="n">
        <f aca="false">VLOOKUP(I6,段階マップ!$A:$B,2,FALSE())</f>
        <v>2</v>
      </c>
      <c r="O6" s="0" t="n">
        <f aca="false">IF(MAX(K6:N6)&gt;=2,1,0)</f>
        <v>1</v>
      </c>
    </row>
    <row r="7" customFormat="false" ht="15" hidden="false" customHeight="false" outlineLevel="0" collapsed="false">
      <c r="A7" s="20" t="s">
        <v>129</v>
      </c>
      <c r="B7" s="0" t="s">
        <v>95</v>
      </c>
      <c r="C7" s="20" t="s">
        <v>127</v>
      </c>
      <c r="D7" s="0" t="n">
        <v>38</v>
      </c>
      <c r="F7" s="20" t="s">
        <v>294</v>
      </c>
      <c r="G7" s="20" t="s">
        <v>287</v>
      </c>
      <c r="H7" s="20" t="s">
        <v>287</v>
      </c>
      <c r="I7" s="20" t="s">
        <v>294</v>
      </c>
      <c r="J7" s="20" t="s">
        <v>296</v>
      </c>
      <c r="K7" s="0" t="n">
        <f aca="false">VLOOKUP(F7,段階マップ!$A:$B,2,FALSE())</f>
        <v>1</v>
      </c>
      <c r="L7" s="0" t="n">
        <f aca="false">VLOOKUP(G7,段階マップ!$A:$B,2,FALSE())</f>
        <v>2</v>
      </c>
      <c r="M7" s="0" t="n">
        <f aca="false">VLOOKUP(H7,段階マップ!$A:$B,2,FALSE())</f>
        <v>2</v>
      </c>
      <c r="N7" s="0" t="n">
        <f aca="false">VLOOKUP(I7,段階マップ!$A:$B,2,FALSE())</f>
        <v>1</v>
      </c>
      <c r="O7" s="0" t="n">
        <f aca="false">IF(MAX(K7:N7)&gt;=2,1,0)</f>
        <v>1</v>
      </c>
    </row>
    <row r="8" customFormat="false" ht="17.15" hidden="false" customHeight="false" outlineLevel="0" collapsed="false">
      <c r="A8" s="20" t="s">
        <v>130</v>
      </c>
      <c r="B8" s="0" t="s">
        <v>96</v>
      </c>
      <c r="C8" s="20" t="s">
        <v>127</v>
      </c>
      <c r="D8" s="0" t="n">
        <v>35</v>
      </c>
      <c r="E8" s="20" t="s">
        <v>293</v>
      </c>
      <c r="F8" s="20" t="s">
        <v>294</v>
      </c>
      <c r="G8" s="20" t="s">
        <v>287</v>
      </c>
      <c r="H8" s="20" t="s">
        <v>294</v>
      </c>
      <c r="I8" s="20" t="s">
        <v>287</v>
      </c>
      <c r="J8" s="20" t="s">
        <v>297</v>
      </c>
      <c r="K8" s="0" t="n">
        <f aca="false">VLOOKUP(F8,段階マップ!$A:$B,2,FALSE())</f>
        <v>1</v>
      </c>
      <c r="L8" s="0" t="n">
        <f aca="false">VLOOKUP(G8,段階マップ!$A:$B,2,FALSE())</f>
        <v>2</v>
      </c>
      <c r="M8" s="0" t="n">
        <f aca="false">VLOOKUP(H8,段階マップ!$A:$B,2,FALSE())</f>
        <v>1</v>
      </c>
      <c r="N8" s="0" t="n">
        <f aca="false">VLOOKUP(I8,段階マップ!$A:$B,2,FALSE())</f>
        <v>2</v>
      </c>
      <c r="O8" s="0" t="n">
        <f aca="false">IF(MAX(K8:N8)&gt;=2,1,0)</f>
        <v>1</v>
      </c>
    </row>
    <row r="9" customFormat="false" ht="15" hidden="false" customHeight="false" outlineLevel="0" collapsed="false">
      <c r="A9" s="20" t="s">
        <v>131</v>
      </c>
      <c r="B9" s="0" t="s">
        <v>93</v>
      </c>
      <c r="C9" s="20" t="s">
        <v>132</v>
      </c>
      <c r="D9" s="0" t="n">
        <v>20</v>
      </c>
      <c r="F9" s="20" t="s">
        <v>294</v>
      </c>
      <c r="G9" s="20" t="s">
        <v>294</v>
      </c>
      <c r="H9" s="20" t="s">
        <v>298</v>
      </c>
      <c r="I9" s="20" t="s">
        <v>287</v>
      </c>
      <c r="K9" s="0" t="n">
        <f aca="false">VLOOKUP(F9,段階マップ!$A:$B,2,FALSE())</f>
        <v>1</v>
      </c>
      <c r="L9" s="0" t="n">
        <f aca="false">VLOOKUP(G9,段階マップ!$A:$B,2,FALSE())</f>
        <v>1</v>
      </c>
      <c r="M9" s="0" t="n">
        <f aca="false">VLOOKUP(H9,段階マップ!$A:$B,2,FALSE())</f>
        <v>0</v>
      </c>
      <c r="N9" s="0" t="n">
        <f aca="false">VLOOKUP(I9,段階マップ!$A:$B,2,FALSE())</f>
        <v>2</v>
      </c>
      <c r="O9" s="0" t="n">
        <f aca="false">IF(MAX(K9:N9)&gt;=2,1,0)</f>
        <v>1</v>
      </c>
    </row>
    <row r="10" customFormat="false" ht="15" hidden="false" customHeight="false" outlineLevel="0" collapsed="false">
      <c r="A10" s="20" t="s">
        <v>133</v>
      </c>
      <c r="B10" s="0" t="s">
        <v>95</v>
      </c>
      <c r="C10" s="20" t="s">
        <v>132</v>
      </c>
      <c r="D10" s="0" t="n">
        <v>16</v>
      </c>
      <c r="F10" s="20" t="s">
        <v>298</v>
      </c>
      <c r="G10" s="20" t="s">
        <v>294</v>
      </c>
      <c r="H10" s="20" t="s">
        <v>294</v>
      </c>
      <c r="I10" s="20" t="s">
        <v>294</v>
      </c>
      <c r="K10" s="0" t="n">
        <f aca="false">VLOOKUP(F10,段階マップ!$A:$B,2,FALSE())</f>
        <v>0</v>
      </c>
      <c r="L10" s="0" t="n">
        <f aca="false">VLOOKUP(G10,段階マップ!$A:$B,2,FALSE())</f>
        <v>1</v>
      </c>
      <c r="M10" s="0" t="n">
        <f aca="false">VLOOKUP(H10,段階マップ!$A:$B,2,FALSE())</f>
        <v>1</v>
      </c>
      <c r="N10" s="0" t="n">
        <f aca="false">VLOOKUP(I10,段階マップ!$A:$B,2,FALSE())</f>
        <v>1</v>
      </c>
      <c r="O10" s="0" t="n">
        <f aca="false">IF(MAX(K10:N10)&gt;=2,1,0)</f>
        <v>0</v>
      </c>
    </row>
    <row r="11" customFormat="false" ht="17.15" hidden="false" customHeight="false" outlineLevel="0" collapsed="false">
      <c r="A11" s="20" t="s">
        <v>134</v>
      </c>
      <c r="B11" s="0" t="s">
        <v>96</v>
      </c>
      <c r="C11" s="20" t="s">
        <v>135</v>
      </c>
      <c r="D11" s="0" t="n">
        <v>68</v>
      </c>
      <c r="E11" s="20" t="s">
        <v>299</v>
      </c>
      <c r="F11" s="20" t="s">
        <v>287</v>
      </c>
      <c r="G11" s="20" t="s">
        <v>300</v>
      </c>
      <c r="H11" s="20" t="s">
        <v>287</v>
      </c>
      <c r="I11" s="20" t="s">
        <v>300</v>
      </c>
      <c r="J11" s="20" t="s">
        <v>301</v>
      </c>
      <c r="K11" s="0" t="n">
        <f aca="false">VLOOKUP(F11,段階マップ!$A:$B,2,FALSE())</f>
        <v>2</v>
      </c>
      <c r="L11" s="0" t="n">
        <f aca="false">VLOOKUP(G11,段階マップ!$A:$B,2,FALSE())</f>
        <v>3</v>
      </c>
      <c r="M11" s="0" t="n">
        <f aca="false">VLOOKUP(H11,段階マップ!$A:$B,2,FALSE())</f>
        <v>2</v>
      </c>
      <c r="N11" s="0" t="n">
        <f aca="false">VLOOKUP(I11,段階マップ!$A:$B,2,FALSE())</f>
        <v>3</v>
      </c>
      <c r="O11" s="0" t="n">
        <f aca="false">IF(MAX(K11:N11)&gt;=2,1,0)</f>
        <v>1</v>
      </c>
    </row>
    <row r="12" customFormat="false" ht="17.15" hidden="false" customHeight="false" outlineLevel="0" collapsed="false">
      <c r="A12" s="20" t="s">
        <v>136</v>
      </c>
      <c r="B12" s="0" t="s">
        <v>97</v>
      </c>
      <c r="C12" s="20" t="s">
        <v>135</v>
      </c>
      <c r="D12" s="0" t="n">
        <v>61</v>
      </c>
      <c r="E12" s="20" t="s">
        <v>293</v>
      </c>
      <c r="F12" s="20" t="s">
        <v>287</v>
      </c>
      <c r="G12" s="20" t="s">
        <v>287</v>
      </c>
      <c r="H12" s="20" t="s">
        <v>300</v>
      </c>
      <c r="I12" s="20" t="s">
        <v>287</v>
      </c>
      <c r="J12" s="20" t="s">
        <v>302</v>
      </c>
      <c r="K12" s="0" t="n">
        <f aca="false">VLOOKUP(F12,段階マップ!$A:$B,2,FALSE())</f>
        <v>2</v>
      </c>
      <c r="L12" s="0" t="n">
        <f aca="false">VLOOKUP(G12,段階マップ!$A:$B,2,FALSE())</f>
        <v>2</v>
      </c>
      <c r="M12" s="0" t="n">
        <f aca="false">VLOOKUP(H12,段階マップ!$A:$B,2,FALSE())</f>
        <v>3</v>
      </c>
      <c r="N12" s="0" t="n">
        <f aca="false">VLOOKUP(I12,段階マップ!$A:$B,2,FALSE())</f>
        <v>2</v>
      </c>
      <c r="O12" s="0" t="n">
        <f aca="false">IF(MAX(K12:N12)&gt;=2,1,0)</f>
        <v>1</v>
      </c>
    </row>
    <row r="13" customFormat="false" ht="15" hidden="false" customHeight="false" outlineLevel="0" collapsed="false">
      <c r="A13" s="20" t="s">
        <v>137</v>
      </c>
      <c r="B13" s="0" t="s">
        <v>94</v>
      </c>
      <c r="C13" s="20" t="s">
        <v>138</v>
      </c>
      <c r="D13" s="0" t="n">
        <v>6</v>
      </c>
      <c r="F13" s="20" t="s">
        <v>298</v>
      </c>
      <c r="G13" s="20" t="s">
        <v>298</v>
      </c>
      <c r="H13" s="20" t="s">
        <v>298</v>
      </c>
      <c r="I13" s="20" t="s">
        <v>294</v>
      </c>
      <c r="K13" s="0" t="n">
        <f aca="false">VLOOKUP(F13,段階マップ!$A:$B,2,FALSE())</f>
        <v>0</v>
      </c>
      <c r="L13" s="0" t="n">
        <f aca="false">VLOOKUP(G13,段階マップ!$A:$B,2,FALSE())</f>
        <v>0</v>
      </c>
      <c r="M13" s="0" t="n">
        <f aca="false">VLOOKUP(H13,段階マップ!$A:$B,2,FALSE())</f>
        <v>0</v>
      </c>
      <c r="N13" s="0" t="n">
        <f aca="false">VLOOKUP(I13,段階マップ!$A:$B,2,FALSE())</f>
        <v>1</v>
      </c>
      <c r="O13" s="0" t="n">
        <f aca="false">IF(MAX(K13:N13)&gt;=2,1,0)</f>
        <v>0</v>
      </c>
    </row>
    <row r="14" customFormat="false" ht="15" hidden="false" customHeight="false" outlineLevel="0" collapsed="false">
      <c r="A14" s="20" t="s">
        <v>139</v>
      </c>
      <c r="B14" s="0" t="s">
        <v>96</v>
      </c>
      <c r="C14" s="20" t="s">
        <v>138</v>
      </c>
      <c r="D14" s="0" t="n">
        <v>3</v>
      </c>
      <c r="F14" s="20" t="s">
        <v>298</v>
      </c>
      <c r="G14" s="20" t="s">
        <v>298</v>
      </c>
      <c r="H14" s="20" t="s">
        <v>298</v>
      </c>
      <c r="I14" s="20" t="s">
        <v>298</v>
      </c>
      <c r="K14" s="0" t="n">
        <f aca="false">VLOOKUP(F14,段階マップ!$A:$B,2,FALSE())</f>
        <v>0</v>
      </c>
      <c r="L14" s="0" t="n">
        <f aca="false">VLOOKUP(G14,段階マップ!$A:$B,2,FALSE())</f>
        <v>0</v>
      </c>
      <c r="M14" s="0" t="n">
        <f aca="false">VLOOKUP(H14,段階マップ!$A:$B,2,FALSE())</f>
        <v>0</v>
      </c>
      <c r="N14" s="0" t="n">
        <f aca="false">VLOOKUP(I14,段階マップ!$A:$B,2,FALSE())</f>
        <v>0</v>
      </c>
      <c r="O14" s="0" t="n">
        <f aca="false">IF(MAX(K14:N14)&gt;=2,1,0)</f>
        <v>0</v>
      </c>
    </row>
    <row r="15" customFormat="false" ht="17.15" hidden="false" customHeight="false" outlineLevel="0" collapsed="false">
      <c r="A15" s="20" t="s">
        <v>140</v>
      </c>
      <c r="B15" s="0" t="s">
        <v>97</v>
      </c>
      <c r="C15" s="20" t="s">
        <v>127</v>
      </c>
      <c r="D15" s="0" t="n">
        <v>33</v>
      </c>
      <c r="E15" s="20" t="s">
        <v>293</v>
      </c>
      <c r="F15" s="20" t="s">
        <v>294</v>
      </c>
      <c r="G15" s="20" t="s">
        <v>287</v>
      </c>
      <c r="H15" s="20" t="s">
        <v>287</v>
      </c>
      <c r="I15" s="20" t="s">
        <v>294</v>
      </c>
      <c r="J15" s="20" t="s">
        <v>303</v>
      </c>
      <c r="K15" s="0" t="n">
        <f aca="false">VLOOKUP(F15,段階マップ!$A:$B,2,FALSE())</f>
        <v>1</v>
      </c>
      <c r="L15" s="0" t="n">
        <f aca="false">VLOOKUP(G15,段階マップ!$A:$B,2,FALSE())</f>
        <v>2</v>
      </c>
      <c r="M15" s="0" t="n">
        <f aca="false">VLOOKUP(H15,段階マップ!$A:$B,2,FALSE())</f>
        <v>2</v>
      </c>
      <c r="N15" s="0" t="n">
        <f aca="false">VLOOKUP(I15,段階マップ!$A:$B,2,FALSE())</f>
        <v>1</v>
      </c>
      <c r="O15" s="0" t="n">
        <f aca="false">IF(MAX(K15:N15)&gt;=2,1,0)</f>
        <v>1</v>
      </c>
    </row>
    <row r="16" customFormat="false" ht="15" hidden="false" customHeight="false" outlineLevel="0" collapsed="false">
      <c r="A16" s="20" t="s">
        <v>141</v>
      </c>
      <c r="B16" s="0" t="s">
        <v>97</v>
      </c>
      <c r="C16" s="20" t="s">
        <v>132</v>
      </c>
      <c r="D16" s="0" t="n">
        <v>14</v>
      </c>
      <c r="F16" s="20" t="s">
        <v>298</v>
      </c>
      <c r="G16" s="20" t="s">
        <v>294</v>
      </c>
      <c r="H16" s="20" t="s">
        <v>298</v>
      </c>
      <c r="I16" s="20" t="s">
        <v>294</v>
      </c>
      <c r="K16" s="0" t="n">
        <f aca="false">VLOOKUP(F16,段階マップ!$A:$B,2,FALSE())</f>
        <v>0</v>
      </c>
      <c r="L16" s="0" t="n">
        <f aca="false">VLOOKUP(G16,段階マップ!$A:$B,2,FALSE())</f>
        <v>1</v>
      </c>
      <c r="M16" s="0" t="n">
        <f aca="false">VLOOKUP(H16,段階マップ!$A:$B,2,FALSE())</f>
        <v>0</v>
      </c>
      <c r="N16" s="0" t="n">
        <f aca="false">VLOOKUP(I16,段階マップ!$A:$B,2,FALSE())</f>
        <v>1</v>
      </c>
      <c r="O16" s="0" t="n">
        <f aca="false">IF(MAX(K16:N16)&gt;=2,1,0)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20" t="s">
        <v>304</v>
      </c>
      <c r="B1" s="20" t="s">
        <v>305</v>
      </c>
    </row>
    <row r="2" customFormat="false" ht="15" hidden="false" customHeight="false" outlineLevel="0" collapsed="false">
      <c r="A2" s="20" t="s">
        <v>298</v>
      </c>
      <c r="B2" s="0" t="n">
        <v>0</v>
      </c>
    </row>
    <row r="3" customFormat="false" ht="15" hidden="false" customHeight="false" outlineLevel="0" collapsed="false">
      <c r="A3" s="20" t="s">
        <v>294</v>
      </c>
      <c r="B3" s="0" t="n">
        <v>1</v>
      </c>
    </row>
    <row r="4" customFormat="false" ht="15" hidden="false" customHeight="false" outlineLevel="0" collapsed="false">
      <c r="A4" s="20" t="s">
        <v>287</v>
      </c>
      <c r="B4" s="0" t="n">
        <v>2</v>
      </c>
    </row>
    <row r="5" customFormat="false" ht="15" hidden="false" customHeight="false" outlineLevel="0" collapsed="false">
      <c r="A5" s="20" t="s">
        <v>300</v>
      </c>
      <c r="B5" s="0" t="n">
        <v>3</v>
      </c>
    </row>
    <row r="6" customFormat="false" ht="15" hidden="false" customHeight="false" outlineLevel="0" collapsed="false">
      <c r="A6" s="20" t="s">
        <v>286</v>
      </c>
      <c r="B6" s="0" t="n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2026-08-01T06:30:19Z</dcterms:created>
  <dc:creator>openpyxl</dc:creator>
  <dc:description/>
  <dc:language>en-US</dc:language>
  <cp:lastModifiedBy/>
  <dcterms:modified xsi:type="dcterms:W3CDTF">2026-08-01T06:30:19Z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